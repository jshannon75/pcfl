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hannon\Documents\gitsync\pcfl\"/>
    </mc:Choice>
  </mc:AlternateContent>
  <xr:revisionPtr revIDLastSave="0" documentId="13_ncr:40009_{8F551911-62AF-4D50-B045-80ED1CAA5352}" xr6:coauthVersionLast="47" xr6:coauthVersionMax="47" xr10:uidLastSave="{00000000-0000-0000-0000-000000000000}"/>
  <bookViews>
    <workbookView xWindow="-98" yWindow="-98" windowWidth="19396" windowHeight="11475"/>
  </bookViews>
  <sheets>
    <sheet name="espn_legacy_games_2014_2017" sheetId="1" r:id="rId1"/>
    <sheet name="Teams" sheetId="2" r:id="rId2"/>
  </sheets>
  <definedNames>
    <definedName name="_xlnm._FilterDatabase" localSheetId="0" hidden="1">espn_legacy_games_2014_2017!$A$1:$I$417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G2" i="1"/>
  <c r="D2" i="1"/>
</calcChain>
</file>

<file path=xl/sharedStrings.xml><?xml version="1.0" encoding="utf-8"?>
<sst xmlns="http://schemas.openxmlformats.org/spreadsheetml/2006/main" count="1282" uniqueCount="34">
  <si>
    <t>Year</t>
  </si>
  <si>
    <t>Week</t>
  </si>
  <si>
    <t>Home Team</t>
  </si>
  <si>
    <t>Home Score</t>
  </si>
  <si>
    <t>Away Team</t>
  </si>
  <si>
    <t>Away Score</t>
  </si>
  <si>
    <t>Winner</t>
  </si>
  <si>
    <t>Team 4</t>
  </si>
  <si>
    <t>Team 3</t>
  </si>
  <si>
    <t>Team 11</t>
  </si>
  <si>
    <t>Team 7</t>
  </si>
  <si>
    <t>Team 10</t>
  </si>
  <si>
    <t>Team 9</t>
  </si>
  <si>
    <t>Team 2</t>
  </si>
  <si>
    <t>Team 1</t>
  </si>
  <si>
    <t>Team 12</t>
  </si>
  <si>
    <t>Team 5</t>
  </si>
  <si>
    <t>Team 8</t>
  </si>
  <si>
    <t>Team 6</t>
  </si>
  <si>
    <t>teams</t>
  </si>
  <si>
    <t>Georgia Peanuts</t>
  </si>
  <si>
    <t>Team Clueless</t>
  </si>
  <si>
    <t>Belmont Trees</t>
  </si>
  <si>
    <t>Southern Sharks</t>
  </si>
  <si>
    <t>Braintree Red Scare</t>
  </si>
  <si>
    <t>KC Gophers</t>
  </si>
  <si>
    <t>Team Foresight</t>
  </si>
  <si>
    <t>Team Going</t>
  </si>
  <si>
    <t>Turkey Monkeys</t>
  </si>
  <si>
    <t>Athens Ospreys</t>
  </si>
  <si>
    <t>Pigskin on the Gridiron</t>
  </si>
  <si>
    <t>Denver Donkeys</t>
  </si>
  <si>
    <t>Home Name</t>
  </si>
  <si>
    <t>Away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</si>
</sst>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7"/>
  <sheetViews>
    <sheetView tabSelected="1" workbookViewId="0">
      <selection activeCell="I4" sqref="I4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32</v>
      </c>
      <c r="E1" t="s">
        <v>3</v>
      </c>
      <c r="F1" t="s">
        <v>4</v>
      </c>
      <c r="G1" t="s">
        <v>33</v>
      </c>
      <c r="H1" t="s">
        <v>5</v>
      </c>
      <c r="I1" t="s">
        <v>6</v>
      </c>
    </row>
    <row r="2" spans="1:9" x14ac:dyDescent="0.45">
      <c r="A2">
        <v>2015</v>
      </c>
      <c r="B2">
        <v>15</v>
      </c>
      <c r="C2" t="s">
        <v>13</v>
      </c>
      <c r="D2" t="str">
        <f>VLOOKUP(C2,Teams!$A:$B,2,FALSE)</f>
        <v>Team Clueless</v>
      </c>
      <c r="E2">
        <v>88.24</v>
      </c>
      <c r="F2" t="s">
        <v>15</v>
      </c>
      <c r="G2" t="str">
        <f>VLOOKUP(F2,Teams!$A:$B,2,FALSE)</f>
        <v>Braintree Red Scare</v>
      </c>
      <c r="H2">
        <v>166.5</v>
      </c>
      <c r="I2" t="s">
        <v>15</v>
      </c>
    </row>
    <row r="3" spans="1:9" x14ac:dyDescent="0.45">
      <c r="A3">
        <v>2017</v>
      </c>
      <c r="B3">
        <v>12</v>
      </c>
      <c r="C3" t="s">
        <v>15</v>
      </c>
      <c r="D3" t="str">
        <f>VLOOKUP(C3,Teams!$A:$B,2,FALSE)</f>
        <v>Braintree Red Scare</v>
      </c>
      <c r="E3">
        <v>63.56</v>
      </c>
      <c r="F3" t="s">
        <v>14</v>
      </c>
      <c r="G3" t="str">
        <f>VLOOKUP(F3,Teams!$A:$B,2,FALSE)</f>
        <v>Georgia Peanuts</v>
      </c>
      <c r="H3">
        <v>164.98</v>
      </c>
      <c r="I3" t="s">
        <v>14</v>
      </c>
    </row>
    <row r="4" spans="1:9" x14ac:dyDescent="0.45">
      <c r="A4">
        <v>2018</v>
      </c>
      <c r="B4">
        <v>3</v>
      </c>
      <c r="C4" t="s">
        <v>15</v>
      </c>
      <c r="D4" t="str">
        <f>VLOOKUP(C4,Teams!$A:$B,2,FALSE)</f>
        <v>Braintree Red Scare</v>
      </c>
      <c r="E4">
        <v>123.5</v>
      </c>
      <c r="F4" t="s">
        <v>10</v>
      </c>
      <c r="G4" t="str">
        <f>VLOOKUP(F4,Teams!$A:$B,2,FALSE)</f>
        <v>Team Foresight</v>
      </c>
      <c r="H4">
        <v>157.69999999999999</v>
      </c>
      <c r="I4" t="s">
        <v>10</v>
      </c>
    </row>
    <row r="5" spans="1:9" x14ac:dyDescent="0.45">
      <c r="A5">
        <v>2017</v>
      </c>
      <c r="B5">
        <v>13</v>
      </c>
      <c r="C5" t="s">
        <v>14</v>
      </c>
      <c r="D5" t="str">
        <f>VLOOKUP(C5,Teams!$A:$B,2,FALSE)</f>
        <v>Georgia Peanuts</v>
      </c>
      <c r="E5">
        <v>141.24</v>
      </c>
      <c r="F5" t="s">
        <v>10</v>
      </c>
      <c r="G5" t="str">
        <f>VLOOKUP(F5,Teams!$A:$B,2,FALSE)</f>
        <v>Team Foresight</v>
      </c>
      <c r="H5">
        <v>157.04</v>
      </c>
      <c r="I5" t="s">
        <v>10</v>
      </c>
    </row>
    <row r="6" spans="1:9" x14ac:dyDescent="0.45">
      <c r="A6">
        <v>2014</v>
      </c>
      <c r="B6">
        <v>9</v>
      </c>
      <c r="C6" t="s">
        <v>18</v>
      </c>
      <c r="D6" t="str">
        <f>VLOOKUP(C6,Teams!$A:$B,2,FALSE)</f>
        <v>KC Gophers</v>
      </c>
      <c r="E6">
        <v>43.2</v>
      </c>
      <c r="F6" t="s">
        <v>8</v>
      </c>
      <c r="G6" t="str">
        <f>VLOOKUP(F6,Teams!$A:$B,2,FALSE)</f>
        <v>Belmont Trees</v>
      </c>
      <c r="H6">
        <v>156.4</v>
      </c>
      <c r="I6" t="s">
        <v>8</v>
      </c>
    </row>
    <row r="7" spans="1:9" x14ac:dyDescent="0.45">
      <c r="A7">
        <v>2018</v>
      </c>
      <c r="B7">
        <v>11</v>
      </c>
      <c r="C7" t="s">
        <v>11</v>
      </c>
      <c r="D7" t="str">
        <f>VLOOKUP(C7,Teams!$A:$B,2,FALSE)</f>
        <v>Pigskin on the Gridiron</v>
      </c>
      <c r="E7">
        <v>110.02</v>
      </c>
      <c r="F7" t="s">
        <v>14</v>
      </c>
      <c r="G7" t="str">
        <f>VLOOKUP(F7,Teams!$A:$B,2,FALSE)</f>
        <v>Georgia Peanuts</v>
      </c>
      <c r="H7">
        <v>154.80000000000001</v>
      </c>
      <c r="I7" t="s">
        <v>14</v>
      </c>
    </row>
    <row r="8" spans="1:9" x14ac:dyDescent="0.45">
      <c r="A8">
        <v>2015</v>
      </c>
      <c r="B8">
        <v>3</v>
      </c>
      <c r="C8" t="s">
        <v>14</v>
      </c>
      <c r="D8" t="str">
        <f>VLOOKUP(C8,Teams!$A:$B,2,FALSE)</f>
        <v>Georgia Peanuts</v>
      </c>
      <c r="E8">
        <v>118.54</v>
      </c>
      <c r="F8" t="s">
        <v>11</v>
      </c>
      <c r="G8" t="str">
        <f>VLOOKUP(F8,Teams!$A:$B,2,FALSE)</f>
        <v>Pigskin on the Gridiron</v>
      </c>
      <c r="H8">
        <v>153.69999999999999</v>
      </c>
      <c r="I8" t="s">
        <v>11</v>
      </c>
    </row>
    <row r="9" spans="1:9" x14ac:dyDescent="0.45">
      <c r="A9">
        <v>2016</v>
      </c>
      <c r="B9">
        <v>5</v>
      </c>
      <c r="C9" t="s">
        <v>7</v>
      </c>
      <c r="D9" t="str">
        <f>VLOOKUP(C9,Teams!$A:$B,2,FALSE)</f>
        <v>Southern Sharks</v>
      </c>
      <c r="E9">
        <v>125.56</v>
      </c>
      <c r="F9" t="s">
        <v>15</v>
      </c>
      <c r="G9" t="str">
        <f>VLOOKUP(F9,Teams!$A:$B,2,FALSE)</f>
        <v>Braintree Red Scare</v>
      </c>
      <c r="H9">
        <v>153.6</v>
      </c>
      <c r="I9" t="s">
        <v>15</v>
      </c>
    </row>
    <row r="10" spans="1:9" x14ac:dyDescent="0.45">
      <c r="A10">
        <v>2016</v>
      </c>
      <c r="B10">
        <v>6</v>
      </c>
      <c r="C10" t="s">
        <v>15</v>
      </c>
      <c r="D10" t="str">
        <f>VLOOKUP(C10,Teams!$A:$B,2,FALSE)</f>
        <v>Braintree Red Scare</v>
      </c>
      <c r="E10">
        <v>78.260000000000005</v>
      </c>
      <c r="F10" t="s">
        <v>16</v>
      </c>
      <c r="G10" t="str">
        <f>VLOOKUP(F10,Teams!$A:$B,2,FALSE)</f>
        <v>Denver Donkeys</v>
      </c>
      <c r="H10">
        <v>152.56</v>
      </c>
      <c r="I10" t="s">
        <v>16</v>
      </c>
    </row>
    <row r="11" spans="1:9" x14ac:dyDescent="0.45">
      <c r="A11">
        <v>2018</v>
      </c>
      <c r="B11">
        <v>4</v>
      </c>
      <c r="C11" t="s">
        <v>17</v>
      </c>
      <c r="D11" t="str">
        <f>VLOOKUP(C11,Teams!$A:$B,2,FALSE)</f>
        <v>Turkey Monkeys</v>
      </c>
      <c r="E11">
        <v>75.16</v>
      </c>
      <c r="F11" t="s">
        <v>13</v>
      </c>
      <c r="G11" t="str">
        <f>VLOOKUP(F11,Teams!$A:$B,2,FALSE)</f>
        <v>Team Clueless</v>
      </c>
      <c r="H11">
        <v>152.13999999999999</v>
      </c>
      <c r="I11" t="s">
        <v>13</v>
      </c>
    </row>
    <row r="12" spans="1:9" x14ac:dyDescent="0.45">
      <c r="A12">
        <v>2014</v>
      </c>
      <c r="B12">
        <v>12</v>
      </c>
      <c r="C12" t="s">
        <v>17</v>
      </c>
      <c r="D12" t="str">
        <f>VLOOKUP(C12,Teams!$A:$B,2,FALSE)</f>
        <v>Turkey Monkeys</v>
      </c>
      <c r="E12">
        <v>88.6</v>
      </c>
      <c r="F12" t="s">
        <v>11</v>
      </c>
      <c r="G12" t="str">
        <f>VLOOKUP(F12,Teams!$A:$B,2,FALSE)</f>
        <v>Pigskin on the Gridiron</v>
      </c>
      <c r="H12">
        <v>151.6</v>
      </c>
      <c r="I12" t="s">
        <v>11</v>
      </c>
    </row>
    <row r="13" spans="1:9" x14ac:dyDescent="0.45">
      <c r="A13">
        <v>2018</v>
      </c>
      <c r="B13">
        <v>14</v>
      </c>
      <c r="C13" t="s">
        <v>15</v>
      </c>
      <c r="D13" t="str">
        <f>VLOOKUP(C13,Teams!$A:$B,2,FALSE)</f>
        <v>Braintree Red Scare</v>
      </c>
      <c r="E13">
        <v>92.76</v>
      </c>
      <c r="F13" t="s">
        <v>13</v>
      </c>
      <c r="G13" t="str">
        <f>VLOOKUP(F13,Teams!$A:$B,2,FALSE)</f>
        <v>Team Clueless</v>
      </c>
      <c r="H13">
        <v>151.02000000000001</v>
      </c>
      <c r="I13" t="s">
        <v>13</v>
      </c>
    </row>
    <row r="14" spans="1:9" x14ac:dyDescent="0.45">
      <c r="A14">
        <v>2015</v>
      </c>
      <c r="B14">
        <v>7</v>
      </c>
      <c r="C14" t="s">
        <v>17</v>
      </c>
      <c r="D14" t="str">
        <f>VLOOKUP(C14,Teams!$A:$B,2,FALSE)</f>
        <v>Turkey Monkeys</v>
      </c>
      <c r="E14">
        <v>93.68</v>
      </c>
      <c r="F14" t="s">
        <v>10</v>
      </c>
      <c r="G14" t="str">
        <f>VLOOKUP(F14,Teams!$A:$B,2,FALSE)</f>
        <v>Team Foresight</v>
      </c>
      <c r="H14">
        <v>149.54</v>
      </c>
      <c r="I14" t="s">
        <v>10</v>
      </c>
    </row>
    <row r="15" spans="1:9" x14ac:dyDescent="0.45">
      <c r="A15">
        <v>2015</v>
      </c>
      <c r="B15">
        <v>12</v>
      </c>
      <c r="C15" t="s">
        <v>7</v>
      </c>
      <c r="D15" t="str">
        <f>VLOOKUP(C15,Teams!$A:$B,2,FALSE)</f>
        <v>Southern Sharks</v>
      </c>
      <c r="E15">
        <v>113.3</v>
      </c>
      <c r="F15" t="s">
        <v>11</v>
      </c>
      <c r="G15" t="str">
        <f>VLOOKUP(F15,Teams!$A:$B,2,FALSE)</f>
        <v>Pigskin on the Gridiron</v>
      </c>
      <c r="H15">
        <v>146.78</v>
      </c>
      <c r="I15" t="s">
        <v>11</v>
      </c>
    </row>
    <row r="16" spans="1:9" x14ac:dyDescent="0.45">
      <c r="A16">
        <v>2015</v>
      </c>
      <c r="B16">
        <v>9</v>
      </c>
      <c r="C16" t="s">
        <v>17</v>
      </c>
      <c r="D16" t="str">
        <f>VLOOKUP(C16,Teams!$A:$B,2,FALSE)</f>
        <v>Turkey Monkeys</v>
      </c>
      <c r="E16">
        <v>123.96</v>
      </c>
      <c r="F16" t="s">
        <v>8</v>
      </c>
      <c r="G16" t="str">
        <f>VLOOKUP(F16,Teams!$A:$B,2,FALSE)</f>
        <v>Belmont Trees</v>
      </c>
      <c r="H16">
        <v>141.96</v>
      </c>
      <c r="I16" t="s">
        <v>8</v>
      </c>
    </row>
    <row r="17" spans="1:9" x14ac:dyDescent="0.45">
      <c r="A17">
        <v>2014</v>
      </c>
      <c r="B17">
        <v>1</v>
      </c>
      <c r="C17" t="s">
        <v>7</v>
      </c>
      <c r="D17" t="str">
        <f>VLOOKUP(C17,Teams!$A:$B,2,FALSE)</f>
        <v>Southern Sharks</v>
      </c>
      <c r="E17">
        <v>110</v>
      </c>
      <c r="F17" t="s">
        <v>8</v>
      </c>
      <c r="G17" t="str">
        <f>VLOOKUP(F17,Teams!$A:$B,2,FALSE)</f>
        <v>Belmont Trees</v>
      </c>
      <c r="H17">
        <v>141.30000000000001</v>
      </c>
      <c r="I17" t="s">
        <v>8</v>
      </c>
    </row>
    <row r="18" spans="1:9" x14ac:dyDescent="0.45">
      <c r="A18">
        <v>2015</v>
      </c>
      <c r="B18">
        <v>7</v>
      </c>
      <c r="C18" t="s">
        <v>18</v>
      </c>
      <c r="D18" t="str">
        <f>VLOOKUP(C18,Teams!$A:$B,2,FALSE)</f>
        <v>KC Gophers</v>
      </c>
      <c r="E18">
        <v>110.98</v>
      </c>
      <c r="F18" t="s">
        <v>7</v>
      </c>
      <c r="G18" t="str">
        <f>VLOOKUP(F18,Teams!$A:$B,2,FALSE)</f>
        <v>Southern Sharks</v>
      </c>
      <c r="H18">
        <v>141.04</v>
      </c>
      <c r="I18" t="s">
        <v>7</v>
      </c>
    </row>
    <row r="19" spans="1:9" x14ac:dyDescent="0.45">
      <c r="A19">
        <v>2016</v>
      </c>
      <c r="B19">
        <v>9</v>
      </c>
      <c r="C19" t="s">
        <v>17</v>
      </c>
      <c r="D19" t="str">
        <f>VLOOKUP(C19,Teams!$A:$B,2,FALSE)</f>
        <v>Turkey Monkeys</v>
      </c>
      <c r="E19">
        <v>87.24</v>
      </c>
      <c r="F19" t="s">
        <v>8</v>
      </c>
      <c r="G19" t="str">
        <f>VLOOKUP(F19,Teams!$A:$B,2,FALSE)</f>
        <v>Belmont Trees</v>
      </c>
      <c r="H19">
        <v>140.78</v>
      </c>
      <c r="I19" t="s">
        <v>8</v>
      </c>
    </row>
    <row r="20" spans="1:9" x14ac:dyDescent="0.45">
      <c r="A20">
        <v>2017</v>
      </c>
      <c r="B20">
        <v>6</v>
      </c>
      <c r="C20" t="s">
        <v>15</v>
      </c>
      <c r="D20" t="str">
        <f>VLOOKUP(C20,Teams!$A:$B,2,FALSE)</f>
        <v>Braintree Red Scare</v>
      </c>
      <c r="E20">
        <v>81.34</v>
      </c>
      <c r="F20" t="s">
        <v>16</v>
      </c>
      <c r="G20" t="str">
        <f>VLOOKUP(F20,Teams!$A:$B,2,FALSE)</f>
        <v>Denver Donkeys</v>
      </c>
      <c r="H20">
        <v>140.32</v>
      </c>
      <c r="I20" t="s">
        <v>16</v>
      </c>
    </row>
    <row r="21" spans="1:9" x14ac:dyDescent="0.45">
      <c r="A21">
        <v>2018</v>
      </c>
      <c r="B21">
        <v>4</v>
      </c>
      <c r="C21" t="s">
        <v>14</v>
      </c>
      <c r="D21" t="str">
        <f>VLOOKUP(C21,Teams!$A:$B,2,FALSE)</f>
        <v>Georgia Peanuts</v>
      </c>
      <c r="E21">
        <v>173.64</v>
      </c>
      <c r="F21" t="s">
        <v>15</v>
      </c>
      <c r="G21" t="str">
        <f>VLOOKUP(F21,Teams!$A:$B,2,FALSE)</f>
        <v>Braintree Red Scare</v>
      </c>
      <c r="H21">
        <v>139.97999999999999</v>
      </c>
      <c r="I21" t="s">
        <v>14</v>
      </c>
    </row>
    <row r="22" spans="1:9" x14ac:dyDescent="0.45">
      <c r="A22">
        <v>2015</v>
      </c>
      <c r="B22">
        <v>13</v>
      </c>
      <c r="C22" t="s">
        <v>15</v>
      </c>
      <c r="D22" t="str">
        <f>VLOOKUP(C22,Teams!$A:$B,2,FALSE)</f>
        <v>Braintree Red Scare</v>
      </c>
      <c r="E22">
        <v>81.760000000000005</v>
      </c>
      <c r="F22" t="s">
        <v>7</v>
      </c>
      <c r="G22" t="str">
        <f>VLOOKUP(F22,Teams!$A:$B,2,FALSE)</f>
        <v>Southern Sharks</v>
      </c>
      <c r="H22">
        <v>139.66</v>
      </c>
      <c r="I22" t="s">
        <v>7</v>
      </c>
    </row>
    <row r="23" spans="1:9" x14ac:dyDescent="0.45">
      <c r="A23">
        <v>2017</v>
      </c>
      <c r="B23">
        <v>15</v>
      </c>
      <c r="C23" t="s">
        <v>16</v>
      </c>
      <c r="D23" t="str">
        <f>VLOOKUP(C23,Teams!$A:$B,2,FALSE)</f>
        <v>Denver Donkeys</v>
      </c>
      <c r="E23">
        <v>120.24</v>
      </c>
      <c r="F23" t="s">
        <v>14</v>
      </c>
      <c r="G23" t="str">
        <f>VLOOKUP(F23,Teams!$A:$B,2,FALSE)</f>
        <v>Georgia Peanuts</v>
      </c>
      <c r="H23">
        <v>139.1</v>
      </c>
      <c r="I23" t="s">
        <v>14</v>
      </c>
    </row>
    <row r="24" spans="1:9" x14ac:dyDescent="0.45">
      <c r="A24">
        <v>2017</v>
      </c>
      <c r="B24">
        <v>15</v>
      </c>
      <c r="C24" t="s">
        <v>10</v>
      </c>
      <c r="D24" t="str">
        <f>VLOOKUP(C24,Teams!$A:$B,2,FALSE)</f>
        <v>Team Foresight</v>
      </c>
      <c r="E24">
        <v>148.78</v>
      </c>
      <c r="F24" t="s">
        <v>11</v>
      </c>
      <c r="G24" t="str">
        <f>VLOOKUP(F24,Teams!$A:$B,2,FALSE)</f>
        <v>Pigskin on the Gridiron</v>
      </c>
      <c r="H24">
        <v>138.32</v>
      </c>
      <c r="I24" t="s">
        <v>10</v>
      </c>
    </row>
    <row r="25" spans="1:9" x14ac:dyDescent="0.45">
      <c r="A25">
        <v>2017</v>
      </c>
      <c r="B25">
        <v>10</v>
      </c>
      <c r="C25" t="s">
        <v>11</v>
      </c>
      <c r="D25" t="str">
        <f>VLOOKUP(C25,Teams!$A:$B,2,FALSE)</f>
        <v>Pigskin on the Gridiron</v>
      </c>
      <c r="E25">
        <v>89.46</v>
      </c>
      <c r="F25" t="s">
        <v>10</v>
      </c>
      <c r="G25" t="str">
        <f>VLOOKUP(F25,Teams!$A:$B,2,FALSE)</f>
        <v>Team Foresight</v>
      </c>
      <c r="H25">
        <v>137.86000000000001</v>
      </c>
      <c r="I25" t="s">
        <v>10</v>
      </c>
    </row>
    <row r="26" spans="1:9" x14ac:dyDescent="0.45">
      <c r="A26">
        <v>2016</v>
      </c>
      <c r="B26">
        <v>5</v>
      </c>
      <c r="C26" t="s">
        <v>18</v>
      </c>
      <c r="D26" t="str">
        <f>VLOOKUP(C26,Teams!$A:$B,2,FALSE)</f>
        <v>KC Gophers</v>
      </c>
      <c r="E26">
        <v>69.459999999999994</v>
      </c>
      <c r="F26" t="s">
        <v>11</v>
      </c>
      <c r="G26" t="str">
        <f>VLOOKUP(F26,Teams!$A:$B,2,FALSE)</f>
        <v>Pigskin on the Gridiron</v>
      </c>
      <c r="H26">
        <v>137.66</v>
      </c>
      <c r="I26" t="s">
        <v>11</v>
      </c>
    </row>
    <row r="27" spans="1:9" x14ac:dyDescent="0.45">
      <c r="A27">
        <v>2017</v>
      </c>
      <c r="B27">
        <v>14</v>
      </c>
      <c r="C27" t="s">
        <v>14</v>
      </c>
      <c r="D27" t="str">
        <f>VLOOKUP(C27,Teams!$A:$B,2,FALSE)</f>
        <v>Georgia Peanuts</v>
      </c>
      <c r="E27">
        <v>71.34</v>
      </c>
      <c r="F27" t="s">
        <v>17</v>
      </c>
      <c r="G27" t="str">
        <f>VLOOKUP(F27,Teams!$A:$B,2,FALSE)</f>
        <v>Turkey Monkeys</v>
      </c>
      <c r="H27">
        <v>137.24</v>
      </c>
      <c r="I27" t="s">
        <v>17</v>
      </c>
    </row>
    <row r="28" spans="1:9" x14ac:dyDescent="0.45">
      <c r="A28">
        <v>2015</v>
      </c>
      <c r="B28">
        <v>2</v>
      </c>
      <c r="C28" t="s">
        <v>10</v>
      </c>
      <c r="D28" t="str">
        <f>VLOOKUP(C28,Teams!$A:$B,2,FALSE)</f>
        <v>Team Foresight</v>
      </c>
      <c r="E28">
        <v>118.96</v>
      </c>
      <c r="F28" t="s">
        <v>11</v>
      </c>
      <c r="G28" t="str">
        <f>VLOOKUP(F28,Teams!$A:$B,2,FALSE)</f>
        <v>Pigskin on the Gridiron</v>
      </c>
      <c r="H28">
        <v>135.86000000000001</v>
      </c>
      <c r="I28" t="s">
        <v>11</v>
      </c>
    </row>
    <row r="29" spans="1:9" x14ac:dyDescent="0.45">
      <c r="A29">
        <v>2018</v>
      </c>
      <c r="B29">
        <v>10</v>
      </c>
      <c r="C29" t="s">
        <v>17</v>
      </c>
      <c r="D29" t="str">
        <f>VLOOKUP(C29,Teams!$A:$B,2,FALSE)</f>
        <v>Turkey Monkeys</v>
      </c>
      <c r="E29">
        <v>64.94</v>
      </c>
      <c r="F29" t="s">
        <v>15</v>
      </c>
      <c r="G29" t="str">
        <f>VLOOKUP(F29,Teams!$A:$B,2,FALSE)</f>
        <v>Braintree Red Scare</v>
      </c>
      <c r="H29">
        <v>134.08000000000001</v>
      </c>
      <c r="I29" t="s">
        <v>15</v>
      </c>
    </row>
    <row r="30" spans="1:9" x14ac:dyDescent="0.45">
      <c r="A30">
        <v>2015</v>
      </c>
      <c r="B30">
        <v>9</v>
      </c>
      <c r="C30" t="s">
        <v>13</v>
      </c>
      <c r="D30" t="str">
        <f>VLOOKUP(C30,Teams!$A:$B,2,FALSE)</f>
        <v>Team Clueless</v>
      </c>
      <c r="E30">
        <v>80.78</v>
      </c>
      <c r="F30" t="s">
        <v>16</v>
      </c>
      <c r="G30" t="str">
        <f>VLOOKUP(F30,Teams!$A:$B,2,FALSE)</f>
        <v>Denver Donkeys</v>
      </c>
      <c r="H30">
        <v>133.58000000000001</v>
      </c>
      <c r="I30" t="s">
        <v>16</v>
      </c>
    </row>
    <row r="31" spans="1:9" x14ac:dyDescent="0.45">
      <c r="A31">
        <v>2015</v>
      </c>
      <c r="B31">
        <v>6</v>
      </c>
      <c r="C31" t="s">
        <v>10</v>
      </c>
      <c r="D31" t="str">
        <f>VLOOKUP(C31,Teams!$A:$B,2,FALSE)</f>
        <v>Team Foresight</v>
      </c>
      <c r="E31">
        <v>104.72</v>
      </c>
      <c r="F31" t="s">
        <v>18</v>
      </c>
      <c r="G31" t="str">
        <f>VLOOKUP(F31,Teams!$A:$B,2,FALSE)</f>
        <v>KC Gophers</v>
      </c>
      <c r="H31">
        <v>133.06</v>
      </c>
      <c r="I31" t="s">
        <v>18</v>
      </c>
    </row>
    <row r="32" spans="1:9" x14ac:dyDescent="0.45">
      <c r="A32">
        <v>2015</v>
      </c>
      <c r="B32">
        <v>10</v>
      </c>
      <c r="C32" t="s">
        <v>11</v>
      </c>
      <c r="D32" t="str">
        <f>VLOOKUP(C32,Teams!$A:$B,2,FALSE)</f>
        <v>Pigskin on the Gridiron</v>
      </c>
      <c r="E32">
        <v>99.88</v>
      </c>
      <c r="F32" t="s">
        <v>10</v>
      </c>
      <c r="G32" t="str">
        <f>VLOOKUP(F32,Teams!$A:$B,2,FALSE)</f>
        <v>Team Foresight</v>
      </c>
      <c r="H32">
        <v>132.54</v>
      </c>
      <c r="I32" t="s">
        <v>10</v>
      </c>
    </row>
    <row r="33" spans="1:9" x14ac:dyDescent="0.45">
      <c r="A33">
        <v>2015</v>
      </c>
      <c r="B33">
        <v>16</v>
      </c>
      <c r="C33" t="s">
        <v>14</v>
      </c>
      <c r="D33" t="str">
        <f>VLOOKUP(C33,Teams!$A:$B,2,FALSE)</f>
        <v>Georgia Peanuts</v>
      </c>
      <c r="E33">
        <v>121.3</v>
      </c>
      <c r="F33" t="s">
        <v>15</v>
      </c>
      <c r="G33" t="str">
        <f>VLOOKUP(F33,Teams!$A:$B,2,FALSE)</f>
        <v>Braintree Red Scare</v>
      </c>
      <c r="H33">
        <v>132.4</v>
      </c>
      <c r="I33" t="s">
        <v>15</v>
      </c>
    </row>
    <row r="34" spans="1:9" x14ac:dyDescent="0.45">
      <c r="A34">
        <v>2017</v>
      </c>
      <c r="B34">
        <v>1</v>
      </c>
      <c r="C34" t="s">
        <v>17</v>
      </c>
      <c r="D34" t="str">
        <f>VLOOKUP(C34,Teams!$A:$B,2,FALSE)</f>
        <v>Turkey Monkeys</v>
      </c>
      <c r="E34">
        <v>69.900000000000006</v>
      </c>
      <c r="F34" t="s">
        <v>14</v>
      </c>
      <c r="G34" t="str">
        <f>VLOOKUP(F34,Teams!$A:$B,2,FALSE)</f>
        <v>Georgia Peanuts</v>
      </c>
      <c r="H34">
        <v>132.19999999999999</v>
      </c>
      <c r="I34" t="s">
        <v>14</v>
      </c>
    </row>
    <row r="35" spans="1:9" x14ac:dyDescent="0.45">
      <c r="A35">
        <v>2016</v>
      </c>
      <c r="B35">
        <v>15</v>
      </c>
      <c r="C35" t="s">
        <v>8</v>
      </c>
      <c r="D35" t="str">
        <f>VLOOKUP(C35,Teams!$A:$B,2,FALSE)</f>
        <v>Belmont Trees</v>
      </c>
      <c r="E35">
        <v>92.52</v>
      </c>
      <c r="F35" t="s">
        <v>16</v>
      </c>
      <c r="G35" t="str">
        <f>VLOOKUP(F35,Teams!$A:$B,2,FALSE)</f>
        <v>Denver Donkeys</v>
      </c>
      <c r="H35">
        <v>132.02000000000001</v>
      </c>
      <c r="I35" t="s">
        <v>16</v>
      </c>
    </row>
    <row r="36" spans="1:9" x14ac:dyDescent="0.45">
      <c r="A36">
        <v>2016</v>
      </c>
      <c r="B36">
        <v>5</v>
      </c>
      <c r="C36" t="s">
        <v>16</v>
      </c>
      <c r="D36" t="str">
        <f>VLOOKUP(C36,Teams!$A:$B,2,FALSE)</f>
        <v>Denver Donkeys</v>
      </c>
      <c r="E36">
        <v>69.52</v>
      </c>
      <c r="F36" t="s">
        <v>13</v>
      </c>
      <c r="G36" t="str">
        <f>VLOOKUP(F36,Teams!$A:$B,2,FALSE)</f>
        <v>Team Clueless</v>
      </c>
      <c r="H36">
        <v>131.82</v>
      </c>
      <c r="I36" t="s">
        <v>13</v>
      </c>
    </row>
    <row r="37" spans="1:9" x14ac:dyDescent="0.45">
      <c r="A37">
        <v>2017</v>
      </c>
      <c r="B37">
        <v>10</v>
      </c>
      <c r="C37" t="s">
        <v>14</v>
      </c>
      <c r="D37" t="str">
        <f>VLOOKUP(C37,Teams!$A:$B,2,FALSE)</f>
        <v>Georgia Peanuts</v>
      </c>
      <c r="E37">
        <v>114.14</v>
      </c>
      <c r="F37" t="s">
        <v>7</v>
      </c>
      <c r="G37" t="str">
        <f>VLOOKUP(F37,Teams!$A:$B,2,FALSE)</f>
        <v>Southern Sharks</v>
      </c>
      <c r="H37">
        <v>131.69999999999999</v>
      </c>
      <c r="I37" t="s">
        <v>7</v>
      </c>
    </row>
    <row r="38" spans="1:9" x14ac:dyDescent="0.45">
      <c r="A38">
        <v>2018</v>
      </c>
      <c r="B38">
        <v>2</v>
      </c>
      <c r="C38" t="s">
        <v>7</v>
      </c>
      <c r="D38" t="str">
        <f>VLOOKUP(C38,Teams!$A:$B,2,FALSE)</f>
        <v>Southern Sharks</v>
      </c>
      <c r="E38">
        <v>113.86</v>
      </c>
      <c r="F38" t="s">
        <v>14</v>
      </c>
      <c r="G38" t="str">
        <f>VLOOKUP(F38,Teams!$A:$B,2,FALSE)</f>
        <v>Georgia Peanuts</v>
      </c>
      <c r="H38">
        <v>131.69999999999999</v>
      </c>
      <c r="I38" t="s">
        <v>14</v>
      </c>
    </row>
    <row r="39" spans="1:9" x14ac:dyDescent="0.45">
      <c r="A39">
        <v>2018</v>
      </c>
      <c r="B39">
        <v>14</v>
      </c>
      <c r="C39" t="s">
        <v>11</v>
      </c>
      <c r="D39" t="str">
        <f>VLOOKUP(C39,Teams!$A:$B,2,FALSE)</f>
        <v>Pigskin on the Gridiron</v>
      </c>
      <c r="E39">
        <v>145.54</v>
      </c>
      <c r="F39" t="s">
        <v>18</v>
      </c>
      <c r="G39" t="str">
        <f>VLOOKUP(F39,Teams!$A:$B,2,FALSE)</f>
        <v>KC Gophers</v>
      </c>
      <c r="H39">
        <v>131.36000000000001</v>
      </c>
      <c r="I39" t="s">
        <v>11</v>
      </c>
    </row>
    <row r="40" spans="1:9" x14ac:dyDescent="0.45">
      <c r="A40">
        <v>2017</v>
      </c>
      <c r="B40">
        <v>6</v>
      </c>
      <c r="C40" t="s">
        <v>14</v>
      </c>
      <c r="D40" t="str">
        <f>VLOOKUP(C40,Teams!$A:$B,2,FALSE)</f>
        <v>Georgia Peanuts</v>
      </c>
      <c r="E40">
        <v>114.4</v>
      </c>
      <c r="F40" t="s">
        <v>13</v>
      </c>
      <c r="G40" t="str">
        <f>VLOOKUP(F40,Teams!$A:$B,2,FALSE)</f>
        <v>Team Clueless</v>
      </c>
      <c r="H40">
        <v>131.08000000000001</v>
      </c>
      <c r="I40" t="s">
        <v>13</v>
      </c>
    </row>
    <row r="41" spans="1:9" x14ac:dyDescent="0.45">
      <c r="A41">
        <v>2018</v>
      </c>
      <c r="B41">
        <v>11</v>
      </c>
      <c r="C41" t="s">
        <v>13</v>
      </c>
      <c r="D41" t="str">
        <f>VLOOKUP(C41,Teams!$A:$B,2,FALSE)</f>
        <v>Team Clueless</v>
      </c>
      <c r="E41">
        <v>145.34</v>
      </c>
      <c r="F41" t="s">
        <v>7</v>
      </c>
      <c r="G41" t="str">
        <f>VLOOKUP(F41,Teams!$A:$B,2,FALSE)</f>
        <v>Southern Sharks</v>
      </c>
      <c r="H41">
        <v>130.91999999999999</v>
      </c>
      <c r="I41" t="s">
        <v>13</v>
      </c>
    </row>
    <row r="42" spans="1:9" x14ac:dyDescent="0.45">
      <c r="A42">
        <v>2016</v>
      </c>
      <c r="B42">
        <v>7</v>
      </c>
      <c r="C42" t="s">
        <v>13</v>
      </c>
      <c r="D42" t="str">
        <f>VLOOKUP(C42,Teams!$A:$B,2,FALSE)</f>
        <v>Team Clueless</v>
      </c>
      <c r="E42">
        <v>100.94</v>
      </c>
      <c r="F42" t="s">
        <v>11</v>
      </c>
      <c r="G42" t="str">
        <f>VLOOKUP(F42,Teams!$A:$B,2,FALSE)</f>
        <v>Pigskin on the Gridiron</v>
      </c>
      <c r="H42">
        <v>130.52000000000001</v>
      </c>
      <c r="I42" t="s">
        <v>11</v>
      </c>
    </row>
    <row r="43" spans="1:9" x14ac:dyDescent="0.45">
      <c r="A43">
        <v>2018</v>
      </c>
      <c r="B43">
        <v>16</v>
      </c>
      <c r="C43" t="s">
        <v>16</v>
      </c>
      <c r="D43" t="str">
        <f>VLOOKUP(C43,Teams!$A:$B,2,FALSE)</f>
        <v>Denver Donkeys</v>
      </c>
      <c r="E43">
        <v>79.38</v>
      </c>
      <c r="F43" t="s">
        <v>18</v>
      </c>
      <c r="G43" t="str">
        <f>VLOOKUP(F43,Teams!$A:$B,2,FALSE)</f>
        <v>KC Gophers</v>
      </c>
      <c r="H43">
        <v>130.38</v>
      </c>
      <c r="I43" t="s">
        <v>18</v>
      </c>
    </row>
    <row r="44" spans="1:9" x14ac:dyDescent="0.45">
      <c r="A44">
        <v>2018</v>
      </c>
      <c r="B44">
        <v>9</v>
      </c>
      <c r="C44" t="s">
        <v>18</v>
      </c>
      <c r="D44" t="str">
        <f>VLOOKUP(C44,Teams!$A:$B,2,FALSE)</f>
        <v>KC Gophers</v>
      </c>
      <c r="E44">
        <v>57</v>
      </c>
      <c r="F44" t="s">
        <v>14</v>
      </c>
      <c r="G44" t="str">
        <f>VLOOKUP(F44,Teams!$A:$B,2,FALSE)</f>
        <v>Georgia Peanuts</v>
      </c>
      <c r="H44">
        <v>129.52000000000001</v>
      </c>
      <c r="I44" t="s">
        <v>14</v>
      </c>
    </row>
    <row r="45" spans="1:9" x14ac:dyDescent="0.45">
      <c r="A45">
        <v>2018</v>
      </c>
      <c r="B45">
        <v>2</v>
      </c>
      <c r="C45" t="s">
        <v>10</v>
      </c>
      <c r="D45" t="str">
        <f>VLOOKUP(C45,Teams!$A:$B,2,FALSE)</f>
        <v>Team Foresight</v>
      </c>
      <c r="E45">
        <v>132.94</v>
      </c>
      <c r="F45" t="s">
        <v>11</v>
      </c>
      <c r="G45" t="str">
        <f>VLOOKUP(F45,Teams!$A:$B,2,FALSE)</f>
        <v>Pigskin on the Gridiron</v>
      </c>
      <c r="H45">
        <v>129.4</v>
      </c>
      <c r="I45" t="s">
        <v>10</v>
      </c>
    </row>
    <row r="46" spans="1:9" x14ac:dyDescent="0.45">
      <c r="A46">
        <v>2017</v>
      </c>
      <c r="B46">
        <v>3</v>
      </c>
      <c r="C46" t="s">
        <v>13</v>
      </c>
      <c r="D46" t="str">
        <f>VLOOKUP(C46,Teams!$A:$B,2,FALSE)</f>
        <v>Team Clueless</v>
      </c>
      <c r="E46">
        <v>125.22</v>
      </c>
      <c r="F46" t="s">
        <v>8</v>
      </c>
      <c r="G46" t="str">
        <f>VLOOKUP(F46,Teams!$A:$B,2,FALSE)</f>
        <v>Belmont Trees</v>
      </c>
      <c r="H46">
        <v>129.32</v>
      </c>
      <c r="I46" t="s">
        <v>8</v>
      </c>
    </row>
    <row r="47" spans="1:9" x14ac:dyDescent="0.45">
      <c r="A47">
        <v>2015</v>
      </c>
      <c r="B47">
        <v>15</v>
      </c>
      <c r="C47" t="s">
        <v>16</v>
      </c>
      <c r="D47" t="str">
        <f>VLOOKUP(C47,Teams!$A:$B,2,FALSE)</f>
        <v>Denver Donkeys</v>
      </c>
      <c r="E47">
        <v>137.08000000000001</v>
      </c>
      <c r="F47" t="s">
        <v>7</v>
      </c>
      <c r="G47" t="str">
        <f>VLOOKUP(F47,Teams!$A:$B,2,FALSE)</f>
        <v>Southern Sharks</v>
      </c>
      <c r="H47">
        <v>128.9</v>
      </c>
      <c r="I47" t="s">
        <v>16</v>
      </c>
    </row>
    <row r="48" spans="1:9" x14ac:dyDescent="0.45">
      <c r="A48">
        <v>2014</v>
      </c>
      <c r="B48">
        <v>8</v>
      </c>
      <c r="C48" t="s">
        <v>11</v>
      </c>
      <c r="D48" t="str">
        <f>VLOOKUP(C48,Teams!$A:$B,2,FALSE)</f>
        <v>Pigskin on the Gridiron</v>
      </c>
      <c r="E48">
        <v>121.6</v>
      </c>
      <c r="F48" t="s">
        <v>16</v>
      </c>
      <c r="G48" t="str">
        <f>VLOOKUP(F48,Teams!$A:$B,2,FALSE)</f>
        <v>Denver Donkeys</v>
      </c>
      <c r="H48">
        <v>128.69999999999999</v>
      </c>
      <c r="I48" t="s">
        <v>16</v>
      </c>
    </row>
    <row r="49" spans="1:9" x14ac:dyDescent="0.45">
      <c r="A49">
        <v>2014</v>
      </c>
      <c r="B49">
        <v>3</v>
      </c>
      <c r="C49" t="s">
        <v>12</v>
      </c>
      <c r="D49" t="str">
        <f>VLOOKUP(C49,Teams!$A:$B,2,FALSE)</f>
        <v>Athens Ospreys</v>
      </c>
      <c r="E49">
        <v>84.7</v>
      </c>
      <c r="F49" t="s">
        <v>8</v>
      </c>
      <c r="G49" t="str">
        <f>VLOOKUP(F49,Teams!$A:$B,2,FALSE)</f>
        <v>Belmont Trees</v>
      </c>
      <c r="H49">
        <v>128.6</v>
      </c>
      <c r="I49" t="s">
        <v>8</v>
      </c>
    </row>
    <row r="50" spans="1:9" x14ac:dyDescent="0.45">
      <c r="A50">
        <v>2017</v>
      </c>
      <c r="B50">
        <v>4</v>
      </c>
      <c r="C50" t="s">
        <v>11</v>
      </c>
      <c r="D50" t="str">
        <f>VLOOKUP(C50,Teams!$A:$B,2,FALSE)</f>
        <v>Pigskin on the Gridiron</v>
      </c>
      <c r="E50">
        <v>91.04</v>
      </c>
      <c r="F50" t="s">
        <v>7</v>
      </c>
      <c r="G50" t="str">
        <f>VLOOKUP(F50,Teams!$A:$B,2,FALSE)</f>
        <v>Southern Sharks</v>
      </c>
      <c r="H50">
        <v>128.18</v>
      </c>
      <c r="I50" t="s">
        <v>7</v>
      </c>
    </row>
    <row r="51" spans="1:9" x14ac:dyDescent="0.45">
      <c r="A51">
        <v>2018</v>
      </c>
      <c r="B51">
        <v>5</v>
      </c>
      <c r="C51" t="s">
        <v>7</v>
      </c>
      <c r="D51" t="str">
        <f>VLOOKUP(C51,Teams!$A:$B,2,FALSE)</f>
        <v>Southern Sharks</v>
      </c>
      <c r="E51">
        <v>127.78</v>
      </c>
      <c r="F51" t="s">
        <v>15</v>
      </c>
      <c r="G51" t="str">
        <f>VLOOKUP(F51,Teams!$A:$B,2,FALSE)</f>
        <v>Braintree Red Scare</v>
      </c>
      <c r="H51">
        <v>127.5</v>
      </c>
      <c r="I51" t="s">
        <v>7</v>
      </c>
    </row>
    <row r="52" spans="1:9" x14ac:dyDescent="0.45">
      <c r="A52">
        <v>2016</v>
      </c>
      <c r="B52">
        <v>5</v>
      </c>
      <c r="C52" t="s">
        <v>10</v>
      </c>
      <c r="D52" t="str">
        <f>VLOOKUP(C52,Teams!$A:$B,2,FALSE)</f>
        <v>Team Foresight</v>
      </c>
      <c r="E52">
        <v>123</v>
      </c>
      <c r="F52" t="s">
        <v>14</v>
      </c>
      <c r="G52" t="str">
        <f>VLOOKUP(F52,Teams!$A:$B,2,FALSE)</f>
        <v>Georgia Peanuts</v>
      </c>
      <c r="H52">
        <v>126.82</v>
      </c>
      <c r="I52" t="s">
        <v>14</v>
      </c>
    </row>
    <row r="53" spans="1:9" x14ac:dyDescent="0.45">
      <c r="A53">
        <v>2018</v>
      </c>
      <c r="B53">
        <v>5</v>
      </c>
      <c r="C53" t="s">
        <v>18</v>
      </c>
      <c r="D53" t="str">
        <f>VLOOKUP(C53,Teams!$A:$B,2,FALSE)</f>
        <v>KC Gophers</v>
      </c>
      <c r="E53">
        <v>88.7</v>
      </c>
      <c r="F53" t="s">
        <v>11</v>
      </c>
      <c r="G53" t="str">
        <f>VLOOKUP(F53,Teams!$A:$B,2,FALSE)</f>
        <v>Pigskin on the Gridiron</v>
      </c>
      <c r="H53">
        <v>126.74</v>
      </c>
      <c r="I53" t="s">
        <v>11</v>
      </c>
    </row>
    <row r="54" spans="1:9" x14ac:dyDescent="0.45">
      <c r="A54">
        <v>2017</v>
      </c>
      <c r="B54">
        <v>14</v>
      </c>
      <c r="C54" t="s">
        <v>15</v>
      </c>
      <c r="D54" t="str">
        <f>VLOOKUP(C54,Teams!$A:$B,2,FALSE)</f>
        <v>Braintree Red Scare</v>
      </c>
      <c r="E54">
        <v>60.82</v>
      </c>
      <c r="F54" t="s">
        <v>13</v>
      </c>
      <c r="G54" t="str">
        <f>VLOOKUP(F54,Teams!$A:$B,2,FALSE)</f>
        <v>Team Clueless</v>
      </c>
      <c r="H54">
        <v>126.72</v>
      </c>
      <c r="I54" t="s">
        <v>13</v>
      </c>
    </row>
    <row r="55" spans="1:9" x14ac:dyDescent="0.45">
      <c r="A55">
        <v>2016</v>
      </c>
      <c r="B55">
        <v>12</v>
      </c>
      <c r="C55" t="s">
        <v>18</v>
      </c>
      <c r="D55" t="str">
        <f>VLOOKUP(C55,Teams!$A:$B,2,FALSE)</f>
        <v>KC Gophers</v>
      </c>
      <c r="E55">
        <v>83.32</v>
      </c>
      <c r="F55" t="s">
        <v>17</v>
      </c>
      <c r="G55" t="str">
        <f>VLOOKUP(F55,Teams!$A:$B,2,FALSE)</f>
        <v>Turkey Monkeys</v>
      </c>
      <c r="H55">
        <v>126.54</v>
      </c>
      <c r="I55" t="s">
        <v>17</v>
      </c>
    </row>
    <row r="56" spans="1:9" x14ac:dyDescent="0.45">
      <c r="A56">
        <v>2016</v>
      </c>
      <c r="B56">
        <v>2</v>
      </c>
      <c r="C56" t="s">
        <v>7</v>
      </c>
      <c r="D56" t="str">
        <f>VLOOKUP(C56,Teams!$A:$B,2,FALSE)</f>
        <v>Southern Sharks</v>
      </c>
      <c r="E56">
        <v>90.2</v>
      </c>
      <c r="F56" t="s">
        <v>14</v>
      </c>
      <c r="G56" t="str">
        <f>VLOOKUP(F56,Teams!$A:$B,2,FALSE)</f>
        <v>Georgia Peanuts</v>
      </c>
      <c r="H56">
        <v>126.42</v>
      </c>
      <c r="I56" t="s">
        <v>14</v>
      </c>
    </row>
    <row r="57" spans="1:9" x14ac:dyDescent="0.45">
      <c r="A57">
        <v>2017</v>
      </c>
      <c r="B57">
        <v>5</v>
      </c>
      <c r="C57" t="s">
        <v>18</v>
      </c>
      <c r="D57" t="str">
        <f>VLOOKUP(C57,Teams!$A:$B,2,FALSE)</f>
        <v>KC Gophers</v>
      </c>
      <c r="E57">
        <v>94.14</v>
      </c>
      <c r="F57" t="s">
        <v>11</v>
      </c>
      <c r="G57" t="str">
        <f>VLOOKUP(F57,Teams!$A:$B,2,FALSE)</f>
        <v>Pigskin on the Gridiron</v>
      </c>
      <c r="H57">
        <v>126.2</v>
      </c>
      <c r="I57" t="s">
        <v>11</v>
      </c>
    </row>
    <row r="58" spans="1:9" x14ac:dyDescent="0.45">
      <c r="A58">
        <v>2018</v>
      </c>
      <c r="B58">
        <v>9</v>
      </c>
      <c r="C58" t="s">
        <v>15</v>
      </c>
      <c r="D58" t="str">
        <f>VLOOKUP(C58,Teams!$A:$B,2,FALSE)</f>
        <v>Braintree Red Scare</v>
      </c>
      <c r="E58">
        <v>101.32</v>
      </c>
      <c r="F58" t="s">
        <v>11</v>
      </c>
      <c r="G58" t="str">
        <f>VLOOKUP(F58,Teams!$A:$B,2,FALSE)</f>
        <v>Pigskin on the Gridiron</v>
      </c>
      <c r="H58">
        <v>126.04</v>
      </c>
      <c r="I58" t="s">
        <v>11</v>
      </c>
    </row>
    <row r="59" spans="1:9" x14ac:dyDescent="0.45">
      <c r="A59">
        <v>2018</v>
      </c>
      <c r="B59">
        <v>12</v>
      </c>
      <c r="C59" t="s">
        <v>18</v>
      </c>
      <c r="D59" t="str">
        <f>VLOOKUP(C59,Teams!$A:$B,2,FALSE)</f>
        <v>KC Gophers</v>
      </c>
      <c r="E59">
        <v>92.12</v>
      </c>
      <c r="F59" t="s">
        <v>17</v>
      </c>
      <c r="G59" t="str">
        <f>VLOOKUP(F59,Teams!$A:$B,2,FALSE)</f>
        <v>Turkey Monkeys</v>
      </c>
      <c r="H59">
        <v>125.98</v>
      </c>
      <c r="I59" t="s">
        <v>17</v>
      </c>
    </row>
    <row r="60" spans="1:9" x14ac:dyDescent="0.45">
      <c r="A60">
        <v>2018</v>
      </c>
      <c r="B60">
        <v>16</v>
      </c>
      <c r="C60" t="s">
        <v>8</v>
      </c>
      <c r="D60" t="str">
        <f>VLOOKUP(C60,Teams!$A:$B,2,FALSE)</f>
        <v>Belmont Trees</v>
      </c>
      <c r="E60">
        <v>119.18</v>
      </c>
      <c r="F60" t="s">
        <v>17</v>
      </c>
      <c r="G60" t="str">
        <f>VLOOKUP(F60,Teams!$A:$B,2,FALSE)</f>
        <v>Turkey Monkeys</v>
      </c>
      <c r="H60">
        <v>125.3</v>
      </c>
      <c r="I60" t="s">
        <v>17</v>
      </c>
    </row>
    <row r="61" spans="1:9" x14ac:dyDescent="0.45">
      <c r="A61">
        <v>2018</v>
      </c>
      <c r="B61">
        <v>14</v>
      </c>
      <c r="C61" t="s">
        <v>14</v>
      </c>
      <c r="D61" t="str">
        <f>VLOOKUP(C61,Teams!$A:$B,2,FALSE)</f>
        <v>Georgia Peanuts</v>
      </c>
      <c r="E61">
        <v>97.42</v>
      </c>
      <c r="F61" t="s">
        <v>17</v>
      </c>
      <c r="G61" t="str">
        <f>VLOOKUP(F61,Teams!$A:$B,2,FALSE)</f>
        <v>Turkey Monkeys</v>
      </c>
      <c r="H61">
        <v>125.08</v>
      </c>
      <c r="I61" t="s">
        <v>17</v>
      </c>
    </row>
    <row r="62" spans="1:9" x14ac:dyDescent="0.45">
      <c r="A62">
        <v>2014</v>
      </c>
      <c r="B62">
        <v>13</v>
      </c>
      <c r="C62" t="s">
        <v>8</v>
      </c>
      <c r="D62" t="str">
        <f>VLOOKUP(C62,Teams!$A:$B,2,FALSE)</f>
        <v>Belmont Trees</v>
      </c>
      <c r="E62">
        <v>105</v>
      </c>
      <c r="F62" t="s">
        <v>15</v>
      </c>
      <c r="G62" t="str">
        <f>VLOOKUP(F62,Teams!$A:$B,2,FALSE)</f>
        <v>Braintree Red Scare</v>
      </c>
      <c r="H62">
        <v>124.8</v>
      </c>
      <c r="I62" t="s">
        <v>15</v>
      </c>
    </row>
    <row r="63" spans="1:9" x14ac:dyDescent="0.45">
      <c r="A63">
        <v>2014</v>
      </c>
      <c r="B63">
        <v>14</v>
      </c>
      <c r="C63" t="s">
        <v>17</v>
      </c>
      <c r="D63" t="str">
        <f>VLOOKUP(C63,Teams!$A:$B,2,FALSE)</f>
        <v>Turkey Monkeys</v>
      </c>
      <c r="E63">
        <v>69.599999999999994</v>
      </c>
      <c r="F63" t="s">
        <v>8</v>
      </c>
      <c r="G63" t="str">
        <f>VLOOKUP(F63,Teams!$A:$B,2,FALSE)</f>
        <v>Belmont Trees</v>
      </c>
      <c r="H63">
        <v>124.7</v>
      </c>
      <c r="I63" t="s">
        <v>8</v>
      </c>
    </row>
    <row r="64" spans="1:9" x14ac:dyDescent="0.45">
      <c r="A64">
        <v>2014</v>
      </c>
      <c r="B64">
        <v>6</v>
      </c>
      <c r="C64" t="s">
        <v>8</v>
      </c>
      <c r="D64" t="str">
        <f>VLOOKUP(C64,Teams!$A:$B,2,FALSE)</f>
        <v>Belmont Trees</v>
      </c>
      <c r="E64">
        <v>94.6</v>
      </c>
      <c r="F64" t="s">
        <v>14</v>
      </c>
      <c r="G64" t="str">
        <f>VLOOKUP(F64,Teams!$A:$B,2,FALSE)</f>
        <v>Georgia Peanuts</v>
      </c>
      <c r="H64">
        <v>124.6</v>
      </c>
      <c r="I64" t="s">
        <v>14</v>
      </c>
    </row>
    <row r="65" spans="1:9" x14ac:dyDescent="0.45">
      <c r="A65">
        <v>2017</v>
      </c>
      <c r="B65">
        <v>9</v>
      </c>
      <c r="C65" t="s">
        <v>18</v>
      </c>
      <c r="D65" t="str">
        <f>VLOOKUP(C65,Teams!$A:$B,2,FALSE)</f>
        <v>KC Gophers</v>
      </c>
      <c r="E65">
        <v>107.26</v>
      </c>
      <c r="F65" t="s">
        <v>14</v>
      </c>
      <c r="G65" t="str">
        <f>VLOOKUP(F65,Teams!$A:$B,2,FALSE)</f>
        <v>Georgia Peanuts</v>
      </c>
      <c r="H65">
        <v>124.24</v>
      </c>
      <c r="I65" t="s">
        <v>14</v>
      </c>
    </row>
    <row r="66" spans="1:9" x14ac:dyDescent="0.45">
      <c r="A66">
        <v>2018</v>
      </c>
      <c r="B66">
        <v>8</v>
      </c>
      <c r="C66" t="s">
        <v>10</v>
      </c>
      <c r="D66" t="str">
        <f>VLOOKUP(C66,Teams!$A:$B,2,FALSE)</f>
        <v>Team Foresight</v>
      </c>
      <c r="E66">
        <v>131.9</v>
      </c>
      <c r="F66" t="s">
        <v>13</v>
      </c>
      <c r="G66" t="str">
        <f>VLOOKUP(F66,Teams!$A:$B,2,FALSE)</f>
        <v>Team Clueless</v>
      </c>
      <c r="H66">
        <v>123.92</v>
      </c>
      <c r="I66" t="s">
        <v>10</v>
      </c>
    </row>
    <row r="67" spans="1:9" x14ac:dyDescent="0.45">
      <c r="A67">
        <v>2018</v>
      </c>
      <c r="B67">
        <v>6</v>
      </c>
      <c r="C67" t="s">
        <v>11</v>
      </c>
      <c r="D67" t="str">
        <f>VLOOKUP(C67,Teams!$A:$B,2,FALSE)</f>
        <v>Pigskin on the Gridiron</v>
      </c>
      <c r="E67">
        <v>130.72</v>
      </c>
      <c r="F67" t="s">
        <v>17</v>
      </c>
      <c r="G67" t="str">
        <f>VLOOKUP(F67,Teams!$A:$B,2,FALSE)</f>
        <v>Turkey Monkeys</v>
      </c>
      <c r="H67">
        <v>123.76</v>
      </c>
      <c r="I67" t="s">
        <v>11</v>
      </c>
    </row>
    <row r="68" spans="1:9" x14ac:dyDescent="0.45">
      <c r="A68">
        <v>2015</v>
      </c>
      <c r="B68">
        <v>6</v>
      </c>
      <c r="C68" t="s">
        <v>15</v>
      </c>
      <c r="D68" t="str">
        <f>VLOOKUP(C68,Teams!$A:$B,2,FALSE)</f>
        <v>Braintree Red Scare</v>
      </c>
      <c r="E68">
        <v>97.88</v>
      </c>
      <c r="F68" t="s">
        <v>16</v>
      </c>
      <c r="G68" t="str">
        <f>VLOOKUP(F68,Teams!$A:$B,2,FALSE)</f>
        <v>Denver Donkeys</v>
      </c>
      <c r="H68">
        <v>123.48</v>
      </c>
      <c r="I68" t="s">
        <v>16</v>
      </c>
    </row>
    <row r="69" spans="1:9" x14ac:dyDescent="0.45">
      <c r="A69">
        <v>2016</v>
      </c>
      <c r="B69">
        <v>9</v>
      </c>
      <c r="C69" t="s">
        <v>18</v>
      </c>
      <c r="D69" t="str">
        <f>VLOOKUP(C69,Teams!$A:$B,2,FALSE)</f>
        <v>KC Gophers</v>
      </c>
      <c r="E69">
        <v>114.28</v>
      </c>
      <c r="F69" t="s">
        <v>14</v>
      </c>
      <c r="G69" t="str">
        <f>VLOOKUP(F69,Teams!$A:$B,2,FALSE)</f>
        <v>Georgia Peanuts</v>
      </c>
      <c r="H69">
        <v>123.38</v>
      </c>
      <c r="I69" t="s">
        <v>14</v>
      </c>
    </row>
    <row r="70" spans="1:9" x14ac:dyDescent="0.45">
      <c r="A70">
        <v>2017</v>
      </c>
      <c r="B70">
        <v>13</v>
      </c>
      <c r="C70" t="s">
        <v>8</v>
      </c>
      <c r="D70" t="str">
        <f>VLOOKUP(C70,Teams!$A:$B,2,FALSE)</f>
        <v>Belmont Trees</v>
      </c>
      <c r="E70">
        <v>91.58</v>
      </c>
      <c r="F70" t="s">
        <v>11</v>
      </c>
      <c r="G70" t="str">
        <f>VLOOKUP(F70,Teams!$A:$B,2,FALSE)</f>
        <v>Pigskin on the Gridiron</v>
      </c>
      <c r="H70">
        <v>123.38</v>
      </c>
      <c r="I70" t="s">
        <v>11</v>
      </c>
    </row>
    <row r="71" spans="1:9" x14ac:dyDescent="0.45">
      <c r="A71">
        <v>2015</v>
      </c>
      <c r="B71">
        <v>9</v>
      </c>
      <c r="C71" t="s">
        <v>15</v>
      </c>
      <c r="D71" t="str">
        <f>VLOOKUP(C71,Teams!$A:$B,2,FALSE)</f>
        <v>Braintree Red Scare</v>
      </c>
      <c r="E71">
        <v>94.44</v>
      </c>
      <c r="F71" t="s">
        <v>11</v>
      </c>
      <c r="G71" t="str">
        <f>VLOOKUP(F71,Teams!$A:$B,2,FALSE)</f>
        <v>Pigskin on the Gridiron</v>
      </c>
      <c r="H71">
        <v>123.32</v>
      </c>
      <c r="I71" t="s">
        <v>11</v>
      </c>
    </row>
    <row r="72" spans="1:9" x14ac:dyDescent="0.45">
      <c r="A72">
        <v>2017</v>
      </c>
      <c r="B72">
        <v>12</v>
      </c>
      <c r="C72" t="s">
        <v>8</v>
      </c>
      <c r="D72" t="str">
        <f>VLOOKUP(C72,Teams!$A:$B,2,FALSE)</f>
        <v>Belmont Trees</v>
      </c>
      <c r="E72">
        <v>88.32</v>
      </c>
      <c r="F72" t="s">
        <v>13</v>
      </c>
      <c r="G72" t="str">
        <f>VLOOKUP(F72,Teams!$A:$B,2,FALSE)</f>
        <v>Team Clueless</v>
      </c>
      <c r="H72">
        <v>122.78</v>
      </c>
      <c r="I72" t="s">
        <v>13</v>
      </c>
    </row>
    <row r="73" spans="1:9" x14ac:dyDescent="0.45">
      <c r="A73">
        <v>2018</v>
      </c>
      <c r="B73">
        <v>1</v>
      </c>
      <c r="C73" t="s">
        <v>11</v>
      </c>
      <c r="D73" t="str">
        <f>VLOOKUP(C73,Teams!$A:$B,2,FALSE)</f>
        <v>Pigskin on the Gridiron</v>
      </c>
      <c r="E73">
        <v>142.46</v>
      </c>
      <c r="F73" t="s">
        <v>15</v>
      </c>
      <c r="G73" t="str">
        <f>VLOOKUP(F73,Teams!$A:$B,2,FALSE)</f>
        <v>Braintree Red Scare</v>
      </c>
      <c r="H73">
        <v>122.62</v>
      </c>
      <c r="I73" t="s">
        <v>11</v>
      </c>
    </row>
    <row r="74" spans="1:9" x14ac:dyDescent="0.45">
      <c r="A74">
        <v>2018</v>
      </c>
      <c r="B74">
        <v>12</v>
      </c>
      <c r="C74" t="s">
        <v>8</v>
      </c>
      <c r="D74" t="str">
        <f>VLOOKUP(C74,Teams!$A:$B,2,FALSE)</f>
        <v>Belmont Trees</v>
      </c>
      <c r="E74">
        <v>79.06</v>
      </c>
      <c r="F74" t="s">
        <v>13</v>
      </c>
      <c r="G74" t="str">
        <f>VLOOKUP(F74,Teams!$A:$B,2,FALSE)</f>
        <v>Team Clueless</v>
      </c>
      <c r="H74">
        <v>122.6</v>
      </c>
      <c r="I74" t="s">
        <v>13</v>
      </c>
    </row>
    <row r="75" spans="1:9" x14ac:dyDescent="0.45">
      <c r="A75">
        <v>2016</v>
      </c>
      <c r="B75">
        <v>3</v>
      </c>
      <c r="C75" t="s">
        <v>17</v>
      </c>
      <c r="D75" t="str">
        <f>VLOOKUP(C75,Teams!$A:$B,2,FALSE)</f>
        <v>Turkey Monkeys</v>
      </c>
      <c r="E75">
        <v>153.12</v>
      </c>
      <c r="F75" t="s">
        <v>18</v>
      </c>
      <c r="G75" t="str">
        <f>VLOOKUP(F75,Teams!$A:$B,2,FALSE)</f>
        <v>KC Gophers</v>
      </c>
      <c r="H75">
        <v>122.4</v>
      </c>
      <c r="I75" t="s">
        <v>17</v>
      </c>
    </row>
    <row r="76" spans="1:9" x14ac:dyDescent="0.45">
      <c r="A76">
        <v>2018</v>
      </c>
      <c r="B76">
        <v>6</v>
      </c>
      <c r="C76" t="s">
        <v>15</v>
      </c>
      <c r="D76" t="str">
        <f>VLOOKUP(C76,Teams!$A:$B,2,FALSE)</f>
        <v>Braintree Red Scare</v>
      </c>
      <c r="E76">
        <v>122.38</v>
      </c>
      <c r="F76" t="s">
        <v>16</v>
      </c>
      <c r="G76" t="str">
        <f>VLOOKUP(F76,Teams!$A:$B,2,FALSE)</f>
        <v>Denver Donkeys</v>
      </c>
      <c r="H76">
        <v>122.4</v>
      </c>
      <c r="I76" t="s">
        <v>16</v>
      </c>
    </row>
    <row r="77" spans="1:9" x14ac:dyDescent="0.45">
      <c r="A77">
        <v>2018</v>
      </c>
      <c r="B77">
        <v>12</v>
      </c>
      <c r="C77" t="s">
        <v>15</v>
      </c>
      <c r="D77" t="str">
        <f>VLOOKUP(C77,Teams!$A:$B,2,FALSE)</f>
        <v>Braintree Red Scare</v>
      </c>
      <c r="E77">
        <v>171</v>
      </c>
      <c r="F77" t="s">
        <v>14</v>
      </c>
      <c r="G77" t="str">
        <f>VLOOKUP(F77,Teams!$A:$B,2,FALSE)</f>
        <v>Georgia Peanuts</v>
      </c>
      <c r="H77">
        <v>122.3</v>
      </c>
      <c r="I77" t="s">
        <v>15</v>
      </c>
    </row>
    <row r="78" spans="1:9" x14ac:dyDescent="0.45">
      <c r="A78">
        <v>2015</v>
      </c>
      <c r="B78">
        <v>12</v>
      </c>
      <c r="C78" t="s">
        <v>8</v>
      </c>
      <c r="D78" t="str">
        <f>VLOOKUP(C78,Teams!$A:$B,2,FALSE)</f>
        <v>Belmont Trees</v>
      </c>
      <c r="E78">
        <v>99.36</v>
      </c>
      <c r="F78" t="s">
        <v>13</v>
      </c>
      <c r="G78" t="str">
        <f>VLOOKUP(F78,Teams!$A:$B,2,FALSE)</f>
        <v>Team Clueless</v>
      </c>
      <c r="H78">
        <v>122.24</v>
      </c>
      <c r="I78" t="s">
        <v>13</v>
      </c>
    </row>
    <row r="79" spans="1:9" x14ac:dyDescent="0.45">
      <c r="A79">
        <v>2017</v>
      </c>
      <c r="B79">
        <v>8</v>
      </c>
      <c r="C79" t="s">
        <v>15</v>
      </c>
      <c r="D79" t="str">
        <f>VLOOKUP(C79,Teams!$A:$B,2,FALSE)</f>
        <v>Braintree Red Scare</v>
      </c>
      <c r="E79">
        <v>92.06</v>
      </c>
      <c r="F79" t="s">
        <v>18</v>
      </c>
      <c r="G79" t="str">
        <f>VLOOKUP(F79,Teams!$A:$B,2,FALSE)</f>
        <v>KC Gophers</v>
      </c>
      <c r="H79">
        <v>122.24</v>
      </c>
      <c r="I79" t="s">
        <v>18</v>
      </c>
    </row>
    <row r="80" spans="1:9" x14ac:dyDescent="0.45">
      <c r="A80">
        <v>2016</v>
      </c>
      <c r="B80">
        <v>16</v>
      </c>
      <c r="C80" t="s">
        <v>17</v>
      </c>
      <c r="D80" t="str">
        <f>VLOOKUP(C80,Teams!$A:$B,2,FALSE)</f>
        <v>Turkey Monkeys</v>
      </c>
      <c r="E80">
        <v>109.22</v>
      </c>
      <c r="F80" t="s">
        <v>11</v>
      </c>
      <c r="G80" t="str">
        <f>VLOOKUP(F80,Teams!$A:$B,2,FALSE)</f>
        <v>Pigskin on the Gridiron</v>
      </c>
      <c r="H80">
        <v>121.82</v>
      </c>
      <c r="I80" t="s">
        <v>11</v>
      </c>
    </row>
    <row r="81" spans="1:9" x14ac:dyDescent="0.45">
      <c r="A81">
        <v>2018</v>
      </c>
      <c r="B81">
        <v>16</v>
      </c>
      <c r="C81" t="s">
        <v>11</v>
      </c>
      <c r="D81" t="str">
        <f>VLOOKUP(C81,Teams!$A:$B,2,FALSE)</f>
        <v>Pigskin on the Gridiron</v>
      </c>
      <c r="E81">
        <v>107.54</v>
      </c>
      <c r="F81" t="s">
        <v>13</v>
      </c>
      <c r="G81" t="str">
        <f>VLOOKUP(F81,Teams!$A:$B,2,FALSE)</f>
        <v>Team Clueless</v>
      </c>
      <c r="H81">
        <v>121.82</v>
      </c>
      <c r="I81" t="s">
        <v>13</v>
      </c>
    </row>
    <row r="82" spans="1:9" x14ac:dyDescent="0.45">
      <c r="A82">
        <v>2015</v>
      </c>
      <c r="B82">
        <v>1</v>
      </c>
      <c r="C82" t="s">
        <v>8</v>
      </c>
      <c r="D82" t="str">
        <f>VLOOKUP(C82,Teams!$A:$B,2,FALSE)</f>
        <v>Belmont Trees</v>
      </c>
      <c r="E82">
        <v>98.54</v>
      </c>
      <c r="F82" t="s">
        <v>16</v>
      </c>
      <c r="G82" t="str">
        <f>VLOOKUP(F82,Teams!$A:$B,2,FALSE)</f>
        <v>Denver Donkeys</v>
      </c>
      <c r="H82">
        <v>121.66</v>
      </c>
      <c r="I82" t="s">
        <v>16</v>
      </c>
    </row>
    <row r="83" spans="1:9" x14ac:dyDescent="0.45">
      <c r="A83">
        <v>2017</v>
      </c>
      <c r="B83">
        <v>9</v>
      </c>
      <c r="C83" t="s">
        <v>7</v>
      </c>
      <c r="D83" t="str">
        <f>VLOOKUP(C83,Teams!$A:$B,2,FALSE)</f>
        <v>Southern Sharks</v>
      </c>
      <c r="E83">
        <v>108.28</v>
      </c>
      <c r="F83" t="s">
        <v>10</v>
      </c>
      <c r="G83" t="str">
        <f>VLOOKUP(F83,Teams!$A:$B,2,FALSE)</f>
        <v>Team Foresight</v>
      </c>
      <c r="H83">
        <v>121.52</v>
      </c>
      <c r="I83" t="s">
        <v>10</v>
      </c>
    </row>
    <row r="84" spans="1:9" x14ac:dyDescent="0.45">
      <c r="A84">
        <v>2014</v>
      </c>
      <c r="B84">
        <v>14</v>
      </c>
      <c r="C84" t="s">
        <v>16</v>
      </c>
      <c r="D84" t="str">
        <f>VLOOKUP(C84,Teams!$A:$B,2,FALSE)</f>
        <v>Denver Donkeys</v>
      </c>
      <c r="E84">
        <v>143.19999999999999</v>
      </c>
      <c r="F84" t="s">
        <v>11</v>
      </c>
      <c r="G84" t="str">
        <f>VLOOKUP(F84,Teams!$A:$B,2,FALSE)</f>
        <v>Pigskin on the Gridiron</v>
      </c>
      <c r="H84">
        <v>121.5</v>
      </c>
      <c r="I84" t="s">
        <v>16</v>
      </c>
    </row>
    <row r="85" spans="1:9" x14ac:dyDescent="0.45">
      <c r="A85">
        <v>2014</v>
      </c>
      <c r="B85">
        <v>6</v>
      </c>
      <c r="C85" t="s">
        <v>7</v>
      </c>
      <c r="D85" t="str">
        <f>VLOOKUP(C85,Teams!$A:$B,2,FALSE)</f>
        <v>Southern Sharks</v>
      </c>
      <c r="E85">
        <v>102.8</v>
      </c>
      <c r="F85" t="s">
        <v>13</v>
      </c>
      <c r="G85" t="str">
        <f>VLOOKUP(F85,Teams!$A:$B,2,FALSE)</f>
        <v>Team Clueless</v>
      </c>
      <c r="H85">
        <v>121.5</v>
      </c>
      <c r="I85" t="s">
        <v>13</v>
      </c>
    </row>
    <row r="86" spans="1:9" x14ac:dyDescent="0.45">
      <c r="A86">
        <v>2015</v>
      </c>
      <c r="B86">
        <v>1</v>
      </c>
      <c r="C86" t="s">
        <v>10</v>
      </c>
      <c r="D86" t="str">
        <f>VLOOKUP(C86,Teams!$A:$B,2,FALSE)</f>
        <v>Team Foresight</v>
      </c>
      <c r="E86">
        <v>113.6</v>
      </c>
      <c r="F86" t="s">
        <v>7</v>
      </c>
      <c r="G86" t="str">
        <f>VLOOKUP(F86,Teams!$A:$B,2,FALSE)</f>
        <v>Southern Sharks</v>
      </c>
      <c r="H86">
        <v>120.14</v>
      </c>
      <c r="I86" t="s">
        <v>7</v>
      </c>
    </row>
    <row r="87" spans="1:9" x14ac:dyDescent="0.45">
      <c r="A87">
        <v>2016</v>
      </c>
      <c r="B87">
        <v>14</v>
      </c>
      <c r="C87" t="s">
        <v>14</v>
      </c>
      <c r="D87" t="str">
        <f>VLOOKUP(C87,Teams!$A:$B,2,FALSE)</f>
        <v>Georgia Peanuts</v>
      </c>
      <c r="E87">
        <v>92.74</v>
      </c>
      <c r="F87" t="s">
        <v>17</v>
      </c>
      <c r="G87" t="str">
        <f>VLOOKUP(F87,Teams!$A:$B,2,FALSE)</f>
        <v>Turkey Monkeys</v>
      </c>
      <c r="H87">
        <v>120.12</v>
      </c>
      <c r="I87" t="s">
        <v>17</v>
      </c>
    </row>
    <row r="88" spans="1:9" x14ac:dyDescent="0.45">
      <c r="A88">
        <v>2015</v>
      </c>
      <c r="B88">
        <v>7</v>
      </c>
      <c r="C88" t="s">
        <v>16</v>
      </c>
      <c r="D88" t="str">
        <f>VLOOKUP(C88,Teams!$A:$B,2,FALSE)</f>
        <v>Denver Donkeys</v>
      </c>
      <c r="E88">
        <v>87.42</v>
      </c>
      <c r="F88" t="s">
        <v>14</v>
      </c>
      <c r="G88" t="str">
        <f>VLOOKUP(F88,Teams!$A:$B,2,FALSE)</f>
        <v>Georgia Peanuts</v>
      </c>
      <c r="H88">
        <v>120.1</v>
      </c>
      <c r="I88" t="s">
        <v>14</v>
      </c>
    </row>
    <row r="89" spans="1:9" x14ac:dyDescent="0.45">
      <c r="A89">
        <v>2017</v>
      </c>
      <c r="B89">
        <v>12</v>
      </c>
      <c r="C89" t="s">
        <v>16</v>
      </c>
      <c r="D89" t="str">
        <f>VLOOKUP(C89,Teams!$A:$B,2,FALSE)</f>
        <v>Denver Donkeys</v>
      </c>
      <c r="E89">
        <v>95.48</v>
      </c>
      <c r="F89" t="s">
        <v>10</v>
      </c>
      <c r="G89" t="str">
        <f>VLOOKUP(F89,Teams!$A:$B,2,FALSE)</f>
        <v>Team Foresight</v>
      </c>
      <c r="H89">
        <v>120.08</v>
      </c>
      <c r="I89" t="s">
        <v>10</v>
      </c>
    </row>
    <row r="90" spans="1:9" x14ac:dyDescent="0.45">
      <c r="A90">
        <v>2016</v>
      </c>
      <c r="B90">
        <v>14</v>
      </c>
      <c r="C90" t="s">
        <v>11</v>
      </c>
      <c r="D90" t="str">
        <f>VLOOKUP(C90,Teams!$A:$B,2,FALSE)</f>
        <v>Pigskin on the Gridiron</v>
      </c>
      <c r="E90">
        <v>62.04</v>
      </c>
      <c r="F90" t="s">
        <v>18</v>
      </c>
      <c r="G90" t="str">
        <f>VLOOKUP(F90,Teams!$A:$B,2,FALSE)</f>
        <v>KC Gophers</v>
      </c>
      <c r="H90">
        <v>119.94</v>
      </c>
      <c r="I90" t="s">
        <v>18</v>
      </c>
    </row>
    <row r="91" spans="1:9" x14ac:dyDescent="0.45">
      <c r="A91">
        <v>2018</v>
      </c>
      <c r="B91">
        <v>1</v>
      </c>
      <c r="C91" t="s">
        <v>18</v>
      </c>
      <c r="D91" t="str">
        <f>VLOOKUP(C91,Teams!$A:$B,2,FALSE)</f>
        <v>KC Gophers</v>
      </c>
      <c r="E91">
        <v>122.56</v>
      </c>
      <c r="F91" t="s">
        <v>13</v>
      </c>
      <c r="G91" t="str">
        <f>VLOOKUP(F91,Teams!$A:$B,2,FALSE)</f>
        <v>Team Clueless</v>
      </c>
      <c r="H91">
        <v>119.84</v>
      </c>
      <c r="I91" t="s">
        <v>18</v>
      </c>
    </row>
    <row r="92" spans="1:9" x14ac:dyDescent="0.45">
      <c r="A92">
        <v>2018</v>
      </c>
      <c r="B92">
        <v>13</v>
      </c>
      <c r="C92" t="s">
        <v>14</v>
      </c>
      <c r="D92" t="str">
        <f>VLOOKUP(C92,Teams!$A:$B,2,FALSE)</f>
        <v>Georgia Peanuts</v>
      </c>
      <c r="E92">
        <v>79.66</v>
      </c>
      <c r="F92" t="s">
        <v>10</v>
      </c>
      <c r="G92" t="str">
        <f>VLOOKUP(F92,Teams!$A:$B,2,FALSE)</f>
        <v>Team Foresight</v>
      </c>
      <c r="H92">
        <v>119.82</v>
      </c>
      <c r="I92" t="s">
        <v>10</v>
      </c>
    </row>
    <row r="93" spans="1:9" x14ac:dyDescent="0.45">
      <c r="A93">
        <v>2015</v>
      </c>
      <c r="B93">
        <v>10</v>
      </c>
      <c r="C93" t="s">
        <v>14</v>
      </c>
      <c r="D93" t="str">
        <f>VLOOKUP(C93,Teams!$A:$B,2,FALSE)</f>
        <v>Georgia Peanuts</v>
      </c>
      <c r="E93">
        <v>87.78</v>
      </c>
      <c r="F93" t="s">
        <v>7</v>
      </c>
      <c r="G93" t="str">
        <f>VLOOKUP(F93,Teams!$A:$B,2,FALSE)</f>
        <v>Southern Sharks</v>
      </c>
      <c r="H93">
        <v>119.8</v>
      </c>
      <c r="I93" t="s">
        <v>7</v>
      </c>
    </row>
    <row r="94" spans="1:9" x14ac:dyDescent="0.45">
      <c r="A94">
        <v>2016</v>
      </c>
      <c r="B94">
        <v>9</v>
      </c>
      <c r="C94" t="s">
        <v>13</v>
      </c>
      <c r="D94" t="str">
        <f>VLOOKUP(C94,Teams!$A:$B,2,FALSE)</f>
        <v>Team Clueless</v>
      </c>
      <c r="E94">
        <v>155.97999999999999</v>
      </c>
      <c r="F94" t="s">
        <v>16</v>
      </c>
      <c r="G94" t="str">
        <f>VLOOKUP(F94,Teams!$A:$B,2,FALSE)</f>
        <v>Denver Donkeys</v>
      </c>
      <c r="H94">
        <v>119.7</v>
      </c>
      <c r="I94" t="s">
        <v>13</v>
      </c>
    </row>
    <row r="95" spans="1:9" x14ac:dyDescent="0.45">
      <c r="A95">
        <v>2014</v>
      </c>
      <c r="B95">
        <v>8</v>
      </c>
      <c r="C95" t="s">
        <v>8</v>
      </c>
      <c r="D95" t="str">
        <f>VLOOKUP(C95,Teams!$A:$B,2,FALSE)</f>
        <v>Belmont Trees</v>
      </c>
      <c r="E95">
        <v>138.30000000000001</v>
      </c>
      <c r="F95" t="s">
        <v>17</v>
      </c>
      <c r="G95" t="str">
        <f>VLOOKUP(F95,Teams!$A:$B,2,FALSE)</f>
        <v>Turkey Monkeys</v>
      </c>
      <c r="H95">
        <v>119.7</v>
      </c>
      <c r="I95" t="s">
        <v>8</v>
      </c>
    </row>
    <row r="96" spans="1:9" x14ac:dyDescent="0.45">
      <c r="A96">
        <v>2014</v>
      </c>
      <c r="B96">
        <v>13</v>
      </c>
      <c r="C96" t="s">
        <v>10</v>
      </c>
      <c r="D96" t="str">
        <f>VLOOKUP(C96,Teams!$A:$B,2,FALSE)</f>
        <v>Team Foresight</v>
      </c>
      <c r="E96">
        <v>113</v>
      </c>
      <c r="F96" t="s">
        <v>13</v>
      </c>
      <c r="G96" t="str">
        <f>VLOOKUP(F96,Teams!$A:$B,2,FALSE)</f>
        <v>Team Clueless</v>
      </c>
      <c r="H96">
        <v>119.5</v>
      </c>
      <c r="I96" t="s">
        <v>13</v>
      </c>
    </row>
    <row r="97" spans="1:9" x14ac:dyDescent="0.45">
      <c r="A97">
        <v>2016</v>
      </c>
      <c r="B97">
        <v>7</v>
      </c>
      <c r="C97" t="s">
        <v>17</v>
      </c>
      <c r="D97" t="str">
        <f>VLOOKUP(C97,Teams!$A:$B,2,FALSE)</f>
        <v>Turkey Monkeys</v>
      </c>
      <c r="E97">
        <v>129.24</v>
      </c>
      <c r="F97" t="s">
        <v>10</v>
      </c>
      <c r="G97" t="str">
        <f>VLOOKUP(F97,Teams!$A:$B,2,FALSE)</f>
        <v>Team Foresight</v>
      </c>
      <c r="H97">
        <v>119.44</v>
      </c>
      <c r="I97" t="s">
        <v>17</v>
      </c>
    </row>
    <row r="98" spans="1:9" x14ac:dyDescent="0.45">
      <c r="A98">
        <v>2018</v>
      </c>
      <c r="B98">
        <v>10</v>
      </c>
      <c r="C98" t="s">
        <v>11</v>
      </c>
      <c r="D98" t="str">
        <f>VLOOKUP(C98,Teams!$A:$B,2,FALSE)</f>
        <v>Pigskin on the Gridiron</v>
      </c>
      <c r="E98">
        <v>133.34</v>
      </c>
      <c r="F98" t="s">
        <v>10</v>
      </c>
      <c r="G98" t="str">
        <f>VLOOKUP(F98,Teams!$A:$B,2,FALSE)</f>
        <v>Team Foresight</v>
      </c>
      <c r="H98">
        <v>119.2</v>
      </c>
      <c r="I98" t="s">
        <v>11</v>
      </c>
    </row>
    <row r="99" spans="1:9" x14ac:dyDescent="0.45">
      <c r="A99">
        <v>2018</v>
      </c>
      <c r="B99">
        <v>10</v>
      </c>
      <c r="C99" t="s">
        <v>13</v>
      </c>
      <c r="D99" t="str">
        <f>VLOOKUP(C99,Teams!$A:$B,2,FALSE)</f>
        <v>Team Clueless</v>
      </c>
      <c r="E99">
        <v>98.84</v>
      </c>
      <c r="F99" t="s">
        <v>18</v>
      </c>
      <c r="G99" t="str">
        <f>VLOOKUP(F99,Teams!$A:$B,2,FALSE)</f>
        <v>KC Gophers</v>
      </c>
      <c r="H99">
        <v>119</v>
      </c>
      <c r="I99" t="s">
        <v>18</v>
      </c>
    </row>
    <row r="100" spans="1:9" x14ac:dyDescent="0.45">
      <c r="A100">
        <v>2018</v>
      </c>
      <c r="B100">
        <v>7</v>
      </c>
      <c r="C100" t="s">
        <v>18</v>
      </c>
      <c r="D100" t="str">
        <f>VLOOKUP(C100,Teams!$A:$B,2,FALSE)</f>
        <v>KC Gophers</v>
      </c>
      <c r="E100">
        <v>104.64</v>
      </c>
      <c r="F100" t="s">
        <v>7</v>
      </c>
      <c r="G100" t="str">
        <f>VLOOKUP(F100,Teams!$A:$B,2,FALSE)</f>
        <v>Southern Sharks</v>
      </c>
      <c r="H100">
        <v>118.98</v>
      </c>
      <c r="I100" t="s">
        <v>7</v>
      </c>
    </row>
    <row r="101" spans="1:9" x14ac:dyDescent="0.45">
      <c r="A101">
        <v>2015</v>
      </c>
      <c r="B101">
        <v>6</v>
      </c>
      <c r="C101" t="s">
        <v>11</v>
      </c>
      <c r="D101" t="str">
        <f>VLOOKUP(C101,Teams!$A:$B,2,FALSE)</f>
        <v>Pigskin on the Gridiron</v>
      </c>
      <c r="E101">
        <v>122.82</v>
      </c>
      <c r="F101" t="s">
        <v>17</v>
      </c>
      <c r="G101" t="str">
        <f>VLOOKUP(F101,Teams!$A:$B,2,FALSE)</f>
        <v>Turkey Monkeys</v>
      </c>
      <c r="H101">
        <v>118.9</v>
      </c>
      <c r="I101" t="s">
        <v>11</v>
      </c>
    </row>
    <row r="102" spans="1:9" x14ac:dyDescent="0.45">
      <c r="A102">
        <v>2018</v>
      </c>
      <c r="B102">
        <v>2</v>
      </c>
      <c r="C102" t="s">
        <v>13</v>
      </c>
      <c r="D102" t="str">
        <f>VLOOKUP(C102,Teams!$A:$B,2,FALSE)</f>
        <v>Team Clueless</v>
      </c>
      <c r="E102">
        <v>112.94</v>
      </c>
      <c r="F102" t="s">
        <v>15</v>
      </c>
      <c r="G102" t="str">
        <f>VLOOKUP(F102,Teams!$A:$B,2,FALSE)</f>
        <v>Braintree Red Scare</v>
      </c>
      <c r="H102">
        <v>118.8</v>
      </c>
      <c r="I102" t="s">
        <v>15</v>
      </c>
    </row>
    <row r="103" spans="1:9" x14ac:dyDescent="0.45">
      <c r="A103">
        <v>2014</v>
      </c>
      <c r="B103">
        <v>14</v>
      </c>
      <c r="C103" t="s">
        <v>14</v>
      </c>
      <c r="D103" t="str">
        <f>VLOOKUP(C103,Teams!$A:$B,2,FALSE)</f>
        <v>Georgia Peanuts</v>
      </c>
      <c r="E103">
        <v>64.2</v>
      </c>
      <c r="F103" t="s">
        <v>10</v>
      </c>
      <c r="G103" t="str">
        <f>VLOOKUP(F103,Teams!$A:$B,2,FALSE)</f>
        <v>Team Foresight</v>
      </c>
      <c r="H103">
        <v>118.8</v>
      </c>
      <c r="I103" t="s">
        <v>10</v>
      </c>
    </row>
    <row r="104" spans="1:9" x14ac:dyDescent="0.45">
      <c r="A104">
        <v>2014</v>
      </c>
      <c r="B104">
        <v>4</v>
      </c>
      <c r="C104" t="s">
        <v>15</v>
      </c>
      <c r="D104" t="str">
        <f>VLOOKUP(C104,Teams!$A:$B,2,FALSE)</f>
        <v>Braintree Red Scare</v>
      </c>
      <c r="E104">
        <v>129.80000000000001</v>
      </c>
      <c r="F104" t="s">
        <v>18</v>
      </c>
      <c r="G104" t="str">
        <f>VLOOKUP(F104,Teams!$A:$B,2,FALSE)</f>
        <v>KC Gophers</v>
      </c>
      <c r="H104">
        <v>118</v>
      </c>
      <c r="I104" t="s">
        <v>15</v>
      </c>
    </row>
    <row r="105" spans="1:9" x14ac:dyDescent="0.45">
      <c r="A105">
        <v>2016</v>
      </c>
      <c r="B105">
        <v>13</v>
      </c>
      <c r="C105" t="s">
        <v>15</v>
      </c>
      <c r="D105" t="str">
        <f>VLOOKUP(C105,Teams!$A:$B,2,FALSE)</f>
        <v>Braintree Red Scare</v>
      </c>
      <c r="E105">
        <v>127.26</v>
      </c>
      <c r="F105" t="s">
        <v>7</v>
      </c>
      <c r="G105" t="str">
        <f>VLOOKUP(F105,Teams!$A:$B,2,FALSE)</f>
        <v>Southern Sharks</v>
      </c>
      <c r="H105">
        <v>117.9</v>
      </c>
      <c r="I105" t="s">
        <v>15</v>
      </c>
    </row>
    <row r="106" spans="1:9" x14ac:dyDescent="0.45">
      <c r="A106">
        <v>2018</v>
      </c>
      <c r="B106">
        <v>7</v>
      </c>
      <c r="C106" t="s">
        <v>8</v>
      </c>
      <c r="D106" t="str">
        <f>VLOOKUP(C106,Teams!$A:$B,2,FALSE)</f>
        <v>Belmont Trees</v>
      </c>
      <c r="E106">
        <v>84.5</v>
      </c>
      <c r="F106" t="s">
        <v>15</v>
      </c>
      <c r="G106" t="str">
        <f>VLOOKUP(F106,Teams!$A:$B,2,FALSE)</f>
        <v>Braintree Red Scare</v>
      </c>
      <c r="H106">
        <v>117.9</v>
      </c>
      <c r="I106" t="s">
        <v>15</v>
      </c>
    </row>
    <row r="107" spans="1:9" x14ac:dyDescent="0.45">
      <c r="A107">
        <v>2017</v>
      </c>
      <c r="B107">
        <v>2</v>
      </c>
      <c r="C107" t="s">
        <v>7</v>
      </c>
      <c r="D107" t="str">
        <f>VLOOKUP(C107,Teams!$A:$B,2,FALSE)</f>
        <v>Southern Sharks</v>
      </c>
      <c r="E107">
        <v>99.98</v>
      </c>
      <c r="F107" t="s">
        <v>14</v>
      </c>
      <c r="G107" t="str">
        <f>VLOOKUP(F107,Teams!$A:$B,2,FALSE)</f>
        <v>Georgia Peanuts</v>
      </c>
      <c r="H107">
        <v>117.86</v>
      </c>
      <c r="I107" t="s">
        <v>14</v>
      </c>
    </row>
    <row r="108" spans="1:9" x14ac:dyDescent="0.45">
      <c r="A108">
        <v>2017</v>
      </c>
      <c r="B108">
        <v>2</v>
      </c>
      <c r="C108" t="s">
        <v>10</v>
      </c>
      <c r="D108" t="str">
        <f>VLOOKUP(C108,Teams!$A:$B,2,FALSE)</f>
        <v>Team Foresight</v>
      </c>
      <c r="E108">
        <v>107.4</v>
      </c>
      <c r="F108" t="s">
        <v>11</v>
      </c>
      <c r="G108" t="str">
        <f>VLOOKUP(F108,Teams!$A:$B,2,FALSE)</f>
        <v>Pigskin on the Gridiron</v>
      </c>
      <c r="H108">
        <v>117.34</v>
      </c>
      <c r="I108" t="s">
        <v>11</v>
      </c>
    </row>
    <row r="109" spans="1:9" x14ac:dyDescent="0.45">
      <c r="A109">
        <v>2018</v>
      </c>
      <c r="B109">
        <v>5</v>
      </c>
      <c r="C109" t="s">
        <v>8</v>
      </c>
      <c r="D109" t="str">
        <f>VLOOKUP(C109,Teams!$A:$B,2,FALSE)</f>
        <v>Belmont Trees</v>
      </c>
      <c r="E109">
        <v>122.1</v>
      </c>
      <c r="F109" t="s">
        <v>17</v>
      </c>
      <c r="G109" t="str">
        <f>VLOOKUP(F109,Teams!$A:$B,2,FALSE)</f>
        <v>Turkey Monkeys</v>
      </c>
      <c r="H109">
        <v>117</v>
      </c>
      <c r="I109" t="s">
        <v>8</v>
      </c>
    </row>
    <row r="110" spans="1:9" x14ac:dyDescent="0.45">
      <c r="A110">
        <v>2015</v>
      </c>
      <c r="B110">
        <v>7</v>
      </c>
      <c r="C110" t="s">
        <v>8</v>
      </c>
      <c r="D110" t="str">
        <f>VLOOKUP(C110,Teams!$A:$B,2,FALSE)</f>
        <v>Belmont Trees</v>
      </c>
      <c r="E110">
        <v>113.28</v>
      </c>
      <c r="F110" t="s">
        <v>15</v>
      </c>
      <c r="G110" t="str">
        <f>VLOOKUP(F110,Teams!$A:$B,2,FALSE)</f>
        <v>Braintree Red Scare</v>
      </c>
      <c r="H110">
        <v>117</v>
      </c>
      <c r="I110" t="s">
        <v>15</v>
      </c>
    </row>
    <row r="111" spans="1:9" x14ac:dyDescent="0.45">
      <c r="A111">
        <v>2016</v>
      </c>
      <c r="B111">
        <v>13</v>
      </c>
      <c r="C111" t="s">
        <v>13</v>
      </c>
      <c r="D111" t="str">
        <f>VLOOKUP(C111,Teams!$A:$B,2,FALSE)</f>
        <v>Team Clueless</v>
      </c>
      <c r="E111">
        <v>127.3</v>
      </c>
      <c r="F111" t="s">
        <v>17</v>
      </c>
      <c r="G111" t="str">
        <f>VLOOKUP(F111,Teams!$A:$B,2,FALSE)</f>
        <v>Turkey Monkeys</v>
      </c>
      <c r="H111">
        <v>116.48</v>
      </c>
      <c r="I111" t="s">
        <v>13</v>
      </c>
    </row>
    <row r="112" spans="1:9" x14ac:dyDescent="0.45">
      <c r="A112">
        <v>2018</v>
      </c>
      <c r="B112">
        <v>16</v>
      </c>
      <c r="C112" t="s">
        <v>14</v>
      </c>
      <c r="D112" t="str">
        <f>VLOOKUP(C112,Teams!$A:$B,2,FALSE)</f>
        <v>Georgia Peanuts</v>
      </c>
      <c r="E112">
        <v>113.46</v>
      </c>
      <c r="F112" t="s">
        <v>7</v>
      </c>
      <c r="G112" t="str">
        <f>VLOOKUP(F112,Teams!$A:$B,2,FALSE)</f>
        <v>Southern Sharks</v>
      </c>
      <c r="H112">
        <v>116.48</v>
      </c>
      <c r="I112" t="s">
        <v>7</v>
      </c>
    </row>
    <row r="113" spans="1:9" x14ac:dyDescent="0.45">
      <c r="A113">
        <v>2017</v>
      </c>
      <c r="B113">
        <v>7</v>
      </c>
      <c r="C113" t="s">
        <v>17</v>
      </c>
      <c r="D113" t="str">
        <f>VLOOKUP(C113,Teams!$A:$B,2,FALSE)</f>
        <v>Turkey Monkeys</v>
      </c>
      <c r="E113">
        <v>68.64</v>
      </c>
      <c r="F113" t="s">
        <v>10</v>
      </c>
      <c r="G113" t="str">
        <f>VLOOKUP(F113,Teams!$A:$B,2,FALSE)</f>
        <v>Team Foresight</v>
      </c>
      <c r="H113">
        <v>115.96</v>
      </c>
      <c r="I113" t="s">
        <v>10</v>
      </c>
    </row>
    <row r="114" spans="1:9" x14ac:dyDescent="0.45">
      <c r="A114">
        <v>2018</v>
      </c>
      <c r="B114">
        <v>12</v>
      </c>
      <c r="C114" t="s">
        <v>7</v>
      </c>
      <c r="D114" t="str">
        <f>VLOOKUP(C114,Teams!$A:$B,2,FALSE)</f>
        <v>Southern Sharks</v>
      </c>
      <c r="E114">
        <v>163.58000000000001</v>
      </c>
      <c r="F114" t="s">
        <v>11</v>
      </c>
      <c r="G114" t="str">
        <f>VLOOKUP(F114,Teams!$A:$B,2,FALSE)</f>
        <v>Pigskin on the Gridiron</v>
      </c>
      <c r="H114">
        <v>115.94</v>
      </c>
      <c r="I114" t="s">
        <v>7</v>
      </c>
    </row>
    <row r="115" spans="1:9" x14ac:dyDescent="0.45">
      <c r="A115">
        <v>2016</v>
      </c>
      <c r="B115">
        <v>15</v>
      </c>
      <c r="C115" t="s">
        <v>17</v>
      </c>
      <c r="D115" t="str">
        <f>VLOOKUP(C115,Teams!$A:$B,2,FALSE)</f>
        <v>Turkey Monkeys</v>
      </c>
      <c r="E115">
        <v>92.7</v>
      </c>
      <c r="F115" t="s">
        <v>14</v>
      </c>
      <c r="G115" t="str">
        <f>VLOOKUP(F115,Teams!$A:$B,2,FALSE)</f>
        <v>Georgia Peanuts</v>
      </c>
      <c r="H115">
        <v>115.92</v>
      </c>
      <c r="I115" t="s">
        <v>14</v>
      </c>
    </row>
    <row r="116" spans="1:9" x14ac:dyDescent="0.45">
      <c r="A116">
        <v>2014</v>
      </c>
      <c r="B116">
        <v>12</v>
      </c>
      <c r="C116" t="s">
        <v>16</v>
      </c>
      <c r="D116" t="str">
        <f>VLOOKUP(C116,Teams!$A:$B,2,FALSE)</f>
        <v>Denver Donkeys</v>
      </c>
      <c r="E116">
        <v>92</v>
      </c>
      <c r="F116" t="s">
        <v>10</v>
      </c>
      <c r="G116" t="str">
        <f>VLOOKUP(F116,Teams!$A:$B,2,FALSE)</f>
        <v>Team Foresight</v>
      </c>
      <c r="H116">
        <v>115.8</v>
      </c>
      <c r="I116" t="s">
        <v>10</v>
      </c>
    </row>
    <row r="117" spans="1:9" x14ac:dyDescent="0.45">
      <c r="A117">
        <v>2016</v>
      </c>
      <c r="B117">
        <v>16</v>
      </c>
      <c r="C117" t="s">
        <v>15</v>
      </c>
      <c r="D117" t="str">
        <f>VLOOKUP(C117,Teams!$A:$B,2,FALSE)</f>
        <v>Braintree Red Scare</v>
      </c>
      <c r="E117">
        <v>99.96</v>
      </c>
      <c r="F117" t="s">
        <v>14</v>
      </c>
      <c r="G117" t="str">
        <f>VLOOKUP(F117,Teams!$A:$B,2,FALSE)</f>
        <v>Georgia Peanuts</v>
      </c>
      <c r="H117">
        <v>115.76</v>
      </c>
      <c r="I117" t="s">
        <v>14</v>
      </c>
    </row>
    <row r="118" spans="1:9" x14ac:dyDescent="0.45">
      <c r="A118">
        <v>2017</v>
      </c>
      <c r="B118">
        <v>13</v>
      </c>
      <c r="C118" t="s">
        <v>15</v>
      </c>
      <c r="D118" t="str">
        <f>VLOOKUP(C118,Teams!$A:$B,2,FALSE)</f>
        <v>Braintree Red Scare</v>
      </c>
      <c r="E118">
        <v>81.599999999999994</v>
      </c>
      <c r="F118" t="s">
        <v>7</v>
      </c>
      <c r="G118" t="str">
        <f>VLOOKUP(F118,Teams!$A:$B,2,FALSE)</f>
        <v>Southern Sharks</v>
      </c>
      <c r="H118">
        <v>115.72</v>
      </c>
      <c r="I118" t="s">
        <v>7</v>
      </c>
    </row>
    <row r="119" spans="1:9" x14ac:dyDescent="0.45">
      <c r="A119">
        <v>2016</v>
      </c>
      <c r="B119">
        <v>7</v>
      </c>
      <c r="C119" t="s">
        <v>8</v>
      </c>
      <c r="D119" t="str">
        <f>VLOOKUP(C119,Teams!$A:$B,2,FALSE)</f>
        <v>Belmont Trees</v>
      </c>
      <c r="E119">
        <v>102.6</v>
      </c>
      <c r="F119" t="s">
        <v>15</v>
      </c>
      <c r="G119" t="str">
        <f>VLOOKUP(F119,Teams!$A:$B,2,FALSE)</f>
        <v>Braintree Red Scare</v>
      </c>
      <c r="H119">
        <v>115.32</v>
      </c>
      <c r="I119" t="s">
        <v>15</v>
      </c>
    </row>
    <row r="120" spans="1:9" x14ac:dyDescent="0.45">
      <c r="A120">
        <v>2015</v>
      </c>
      <c r="B120">
        <v>13</v>
      </c>
      <c r="C120" t="s">
        <v>16</v>
      </c>
      <c r="D120" t="str">
        <f>VLOOKUP(C120,Teams!$A:$B,2,FALSE)</f>
        <v>Denver Donkeys</v>
      </c>
      <c r="E120">
        <v>159.1</v>
      </c>
      <c r="F120" t="s">
        <v>18</v>
      </c>
      <c r="G120" t="str">
        <f>VLOOKUP(F120,Teams!$A:$B,2,FALSE)</f>
        <v>KC Gophers</v>
      </c>
      <c r="H120">
        <v>114.98</v>
      </c>
      <c r="I120" t="s">
        <v>16</v>
      </c>
    </row>
    <row r="121" spans="1:9" x14ac:dyDescent="0.45">
      <c r="A121">
        <v>2015</v>
      </c>
      <c r="B121">
        <v>5</v>
      </c>
      <c r="C121" t="s">
        <v>18</v>
      </c>
      <c r="D121" t="str">
        <f>VLOOKUP(C121,Teams!$A:$B,2,FALSE)</f>
        <v>KC Gophers</v>
      </c>
      <c r="E121">
        <v>122.16</v>
      </c>
      <c r="F121" t="s">
        <v>11</v>
      </c>
      <c r="G121" t="str">
        <f>VLOOKUP(F121,Teams!$A:$B,2,FALSE)</f>
        <v>Pigskin on the Gridiron</v>
      </c>
      <c r="H121">
        <v>114.94</v>
      </c>
      <c r="I121" t="s">
        <v>18</v>
      </c>
    </row>
    <row r="122" spans="1:9" x14ac:dyDescent="0.45">
      <c r="A122">
        <v>2016</v>
      </c>
      <c r="B122">
        <v>11</v>
      </c>
      <c r="C122" t="s">
        <v>18</v>
      </c>
      <c r="D122" t="str">
        <f>VLOOKUP(C122,Teams!$A:$B,2,FALSE)</f>
        <v>KC Gophers</v>
      </c>
      <c r="E122">
        <v>103.54</v>
      </c>
      <c r="F122" t="s">
        <v>8</v>
      </c>
      <c r="G122" t="str">
        <f>VLOOKUP(F122,Teams!$A:$B,2,FALSE)</f>
        <v>Belmont Trees</v>
      </c>
      <c r="H122">
        <v>114.92</v>
      </c>
      <c r="I122" t="s">
        <v>8</v>
      </c>
    </row>
    <row r="123" spans="1:9" x14ac:dyDescent="0.45">
      <c r="A123">
        <v>2018</v>
      </c>
      <c r="B123">
        <v>6</v>
      </c>
      <c r="C123" t="s">
        <v>7</v>
      </c>
      <c r="D123" t="str">
        <f>VLOOKUP(C123,Teams!$A:$B,2,FALSE)</f>
        <v>Southern Sharks</v>
      </c>
      <c r="E123">
        <v>125.4</v>
      </c>
      <c r="F123" t="s">
        <v>8</v>
      </c>
      <c r="G123" t="str">
        <f>VLOOKUP(F123,Teams!$A:$B,2,FALSE)</f>
        <v>Belmont Trees</v>
      </c>
      <c r="H123">
        <v>114.5</v>
      </c>
      <c r="I123" t="s">
        <v>7</v>
      </c>
    </row>
    <row r="124" spans="1:9" x14ac:dyDescent="0.45">
      <c r="A124">
        <v>2017</v>
      </c>
      <c r="B124">
        <v>7</v>
      </c>
      <c r="C124" t="s">
        <v>8</v>
      </c>
      <c r="D124" t="str">
        <f>VLOOKUP(C124,Teams!$A:$B,2,FALSE)</f>
        <v>Belmont Trees</v>
      </c>
      <c r="E124">
        <v>80.56</v>
      </c>
      <c r="F124" t="s">
        <v>15</v>
      </c>
      <c r="G124" t="str">
        <f>VLOOKUP(F124,Teams!$A:$B,2,FALSE)</f>
        <v>Braintree Red Scare</v>
      </c>
      <c r="H124">
        <v>114.4</v>
      </c>
      <c r="I124" t="s">
        <v>15</v>
      </c>
    </row>
    <row r="125" spans="1:9" x14ac:dyDescent="0.45">
      <c r="A125">
        <v>2017</v>
      </c>
      <c r="B125">
        <v>9</v>
      </c>
      <c r="C125" t="s">
        <v>17</v>
      </c>
      <c r="D125" t="str">
        <f>VLOOKUP(C125,Teams!$A:$B,2,FALSE)</f>
        <v>Turkey Monkeys</v>
      </c>
      <c r="E125">
        <v>105.72</v>
      </c>
      <c r="F125" t="s">
        <v>8</v>
      </c>
      <c r="G125" t="str">
        <f>VLOOKUP(F125,Teams!$A:$B,2,FALSE)</f>
        <v>Belmont Trees</v>
      </c>
      <c r="H125">
        <v>114.08</v>
      </c>
      <c r="I125" t="s">
        <v>8</v>
      </c>
    </row>
    <row r="126" spans="1:9" x14ac:dyDescent="0.45">
      <c r="A126">
        <v>2017</v>
      </c>
      <c r="B126">
        <v>1</v>
      </c>
      <c r="C126" t="s">
        <v>11</v>
      </c>
      <c r="D126" t="str">
        <f>VLOOKUP(C126,Teams!$A:$B,2,FALSE)</f>
        <v>Pigskin on the Gridiron</v>
      </c>
      <c r="E126">
        <v>113.82</v>
      </c>
      <c r="F126" t="s">
        <v>15</v>
      </c>
      <c r="G126" t="str">
        <f>VLOOKUP(F126,Teams!$A:$B,2,FALSE)</f>
        <v>Braintree Red Scare</v>
      </c>
      <c r="H126">
        <v>114.06</v>
      </c>
      <c r="I126" t="s">
        <v>15</v>
      </c>
    </row>
    <row r="127" spans="1:9" x14ac:dyDescent="0.45">
      <c r="A127">
        <v>2014</v>
      </c>
      <c r="B127">
        <v>6</v>
      </c>
      <c r="C127" t="s">
        <v>9</v>
      </c>
      <c r="D127" t="str">
        <f>VLOOKUP(C127,Teams!$A:$B,2,FALSE)</f>
        <v>Team Going</v>
      </c>
      <c r="E127">
        <v>96</v>
      </c>
      <c r="F127" t="s">
        <v>15</v>
      </c>
      <c r="G127" t="str">
        <f>VLOOKUP(F127,Teams!$A:$B,2,FALSE)</f>
        <v>Braintree Red Scare</v>
      </c>
      <c r="H127">
        <v>113.9</v>
      </c>
      <c r="I127" t="s">
        <v>15</v>
      </c>
    </row>
    <row r="128" spans="1:9" x14ac:dyDescent="0.45">
      <c r="A128">
        <v>2016</v>
      </c>
      <c r="B128">
        <v>15</v>
      </c>
      <c r="C128" t="s">
        <v>15</v>
      </c>
      <c r="D128" t="str">
        <f>VLOOKUP(C128,Teams!$A:$B,2,FALSE)</f>
        <v>Braintree Red Scare</v>
      </c>
      <c r="E128">
        <v>132.04</v>
      </c>
      <c r="F128" t="s">
        <v>11</v>
      </c>
      <c r="G128" t="str">
        <f>VLOOKUP(F128,Teams!$A:$B,2,FALSE)</f>
        <v>Pigskin on the Gridiron</v>
      </c>
      <c r="H128">
        <v>113.8</v>
      </c>
      <c r="I128" t="s">
        <v>15</v>
      </c>
    </row>
    <row r="129" spans="1:9" x14ac:dyDescent="0.45">
      <c r="A129">
        <v>2015</v>
      </c>
      <c r="B129">
        <v>14</v>
      </c>
      <c r="C129" t="s">
        <v>10</v>
      </c>
      <c r="D129" t="str">
        <f>VLOOKUP(C129,Teams!$A:$B,2,FALSE)</f>
        <v>Team Foresight</v>
      </c>
      <c r="E129">
        <v>103.7</v>
      </c>
      <c r="F129" t="s">
        <v>8</v>
      </c>
      <c r="G129" t="str">
        <f>VLOOKUP(F129,Teams!$A:$B,2,FALSE)</f>
        <v>Belmont Trees</v>
      </c>
      <c r="H129">
        <v>113.7</v>
      </c>
      <c r="I129" t="s">
        <v>8</v>
      </c>
    </row>
    <row r="130" spans="1:9" x14ac:dyDescent="0.45">
      <c r="A130">
        <v>2016</v>
      </c>
      <c r="B130">
        <v>12</v>
      </c>
      <c r="C130" t="s">
        <v>16</v>
      </c>
      <c r="D130" t="str">
        <f>VLOOKUP(C130,Teams!$A:$B,2,FALSE)</f>
        <v>Denver Donkeys</v>
      </c>
      <c r="E130">
        <v>85.02</v>
      </c>
      <c r="F130" t="s">
        <v>10</v>
      </c>
      <c r="G130" t="str">
        <f>VLOOKUP(F130,Teams!$A:$B,2,FALSE)</f>
        <v>Team Foresight</v>
      </c>
      <c r="H130">
        <v>113.46</v>
      </c>
      <c r="I130" t="s">
        <v>10</v>
      </c>
    </row>
    <row r="131" spans="1:9" x14ac:dyDescent="0.45">
      <c r="A131">
        <v>2018</v>
      </c>
      <c r="B131">
        <v>1</v>
      </c>
      <c r="C131" t="s">
        <v>17</v>
      </c>
      <c r="D131" t="str">
        <f>VLOOKUP(C131,Teams!$A:$B,2,FALSE)</f>
        <v>Turkey Monkeys</v>
      </c>
      <c r="E131">
        <v>96.4</v>
      </c>
      <c r="F131" t="s">
        <v>14</v>
      </c>
      <c r="G131" t="str">
        <f>VLOOKUP(F131,Teams!$A:$B,2,FALSE)</f>
        <v>Georgia Peanuts</v>
      </c>
      <c r="H131">
        <v>113.04</v>
      </c>
      <c r="I131" t="s">
        <v>14</v>
      </c>
    </row>
    <row r="132" spans="1:9" x14ac:dyDescent="0.45">
      <c r="A132">
        <v>2016</v>
      </c>
      <c r="B132">
        <v>3</v>
      </c>
      <c r="C132" t="s">
        <v>16</v>
      </c>
      <c r="D132" t="str">
        <f>VLOOKUP(C132,Teams!$A:$B,2,FALSE)</f>
        <v>Denver Donkeys</v>
      </c>
      <c r="E132">
        <v>91.84</v>
      </c>
      <c r="F132" t="s">
        <v>7</v>
      </c>
      <c r="G132" t="str">
        <f>VLOOKUP(F132,Teams!$A:$B,2,FALSE)</f>
        <v>Southern Sharks</v>
      </c>
      <c r="H132">
        <v>112.84</v>
      </c>
      <c r="I132" t="s">
        <v>7</v>
      </c>
    </row>
    <row r="133" spans="1:9" x14ac:dyDescent="0.45">
      <c r="A133">
        <v>2015</v>
      </c>
      <c r="B133">
        <v>14</v>
      </c>
      <c r="C133" t="s">
        <v>7</v>
      </c>
      <c r="D133" t="str">
        <f>VLOOKUP(C133,Teams!$A:$B,2,FALSE)</f>
        <v>Southern Sharks</v>
      </c>
      <c r="E133">
        <v>142.62</v>
      </c>
      <c r="F133" t="s">
        <v>16</v>
      </c>
      <c r="G133" t="str">
        <f>VLOOKUP(F133,Teams!$A:$B,2,FALSE)</f>
        <v>Denver Donkeys</v>
      </c>
      <c r="H133">
        <v>112.82</v>
      </c>
      <c r="I133" t="s">
        <v>7</v>
      </c>
    </row>
    <row r="134" spans="1:9" x14ac:dyDescent="0.45">
      <c r="A134">
        <v>2014</v>
      </c>
      <c r="B134">
        <v>7</v>
      </c>
      <c r="C134" t="s">
        <v>14</v>
      </c>
      <c r="D134" t="str">
        <f>VLOOKUP(C134,Teams!$A:$B,2,FALSE)</f>
        <v>Georgia Peanuts</v>
      </c>
      <c r="E134">
        <v>110.2</v>
      </c>
      <c r="F134" t="s">
        <v>7</v>
      </c>
      <c r="G134" t="str">
        <f>VLOOKUP(F134,Teams!$A:$B,2,FALSE)</f>
        <v>Southern Sharks</v>
      </c>
      <c r="H134">
        <v>112.7</v>
      </c>
      <c r="I134" t="s">
        <v>7</v>
      </c>
    </row>
    <row r="135" spans="1:9" x14ac:dyDescent="0.45">
      <c r="A135">
        <v>2016</v>
      </c>
      <c r="B135">
        <v>3</v>
      </c>
      <c r="C135" t="s">
        <v>15</v>
      </c>
      <c r="D135" t="str">
        <f>VLOOKUP(C135,Teams!$A:$B,2,FALSE)</f>
        <v>Braintree Red Scare</v>
      </c>
      <c r="E135">
        <v>118.28</v>
      </c>
      <c r="F135" t="s">
        <v>10</v>
      </c>
      <c r="G135" t="str">
        <f>VLOOKUP(F135,Teams!$A:$B,2,FALSE)</f>
        <v>Team Foresight</v>
      </c>
      <c r="H135">
        <v>112.5</v>
      </c>
      <c r="I135" t="s">
        <v>15</v>
      </c>
    </row>
    <row r="136" spans="1:9" x14ac:dyDescent="0.45">
      <c r="A136">
        <v>2015</v>
      </c>
      <c r="B136">
        <v>5</v>
      </c>
      <c r="C136" t="s">
        <v>16</v>
      </c>
      <c r="D136" t="str">
        <f>VLOOKUP(C136,Teams!$A:$B,2,FALSE)</f>
        <v>Denver Donkeys</v>
      </c>
      <c r="E136">
        <v>102.54</v>
      </c>
      <c r="F136" t="s">
        <v>13</v>
      </c>
      <c r="G136" t="str">
        <f>VLOOKUP(F136,Teams!$A:$B,2,FALSE)</f>
        <v>Team Clueless</v>
      </c>
      <c r="H136">
        <v>112.5</v>
      </c>
      <c r="I136" t="s">
        <v>13</v>
      </c>
    </row>
    <row r="137" spans="1:9" x14ac:dyDescent="0.45">
      <c r="A137">
        <v>2015</v>
      </c>
      <c r="B137">
        <v>12</v>
      </c>
      <c r="C137" t="s">
        <v>18</v>
      </c>
      <c r="D137" t="str">
        <f>VLOOKUP(C137,Teams!$A:$B,2,FALSE)</f>
        <v>KC Gophers</v>
      </c>
      <c r="E137">
        <v>104.14</v>
      </c>
      <c r="F137" t="s">
        <v>17</v>
      </c>
      <c r="G137" t="str">
        <f>VLOOKUP(F137,Teams!$A:$B,2,FALSE)</f>
        <v>Turkey Monkeys</v>
      </c>
      <c r="H137">
        <v>112.48</v>
      </c>
      <c r="I137" t="s">
        <v>17</v>
      </c>
    </row>
    <row r="138" spans="1:9" x14ac:dyDescent="0.45">
      <c r="A138">
        <v>2018</v>
      </c>
      <c r="B138">
        <v>8</v>
      </c>
      <c r="C138" t="s">
        <v>15</v>
      </c>
      <c r="D138" t="str">
        <f>VLOOKUP(C138,Teams!$A:$B,2,FALSE)</f>
        <v>Braintree Red Scare</v>
      </c>
      <c r="E138">
        <v>126.84</v>
      </c>
      <c r="F138" t="s">
        <v>18</v>
      </c>
      <c r="G138" t="str">
        <f>VLOOKUP(F138,Teams!$A:$B,2,FALSE)</f>
        <v>KC Gophers</v>
      </c>
      <c r="H138">
        <v>112.36</v>
      </c>
      <c r="I138" t="s">
        <v>15</v>
      </c>
    </row>
    <row r="139" spans="1:9" x14ac:dyDescent="0.45">
      <c r="A139">
        <v>2015</v>
      </c>
      <c r="B139">
        <v>15</v>
      </c>
      <c r="C139" t="s">
        <v>11</v>
      </c>
      <c r="D139" t="str">
        <f>VLOOKUP(C139,Teams!$A:$B,2,FALSE)</f>
        <v>Pigskin on the Gridiron</v>
      </c>
      <c r="E139">
        <v>114.98</v>
      </c>
      <c r="F139" t="s">
        <v>10</v>
      </c>
      <c r="G139" t="str">
        <f>VLOOKUP(F139,Teams!$A:$B,2,FALSE)</f>
        <v>Team Foresight</v>
      </c>
      <c r="H139">
        <v>112.18</v>
      </c>
      <c r="I139" t="s">
        <v>11</v>
      </c>
    </row>
    <row r="140" spans="1:9" x14ac:dyDescent="0.45">
      <c r="A140">
        <v>2015</v>
      </c>
      <c r="B140">
        <v>9</v>
      </c>
      <c r="C140" t="s">
        <v>7</v>
      </c>
      <c r="D140" t="str">
        <f>VLOOKUP(C140,Teams!$A:$B,2,FALSE)</f>
        <v>Southern Sharks</v>
      </c>
      <c r="E140">
        <v>109.9</v>
      </c>
      <c r="F140" t="s">
        <v>10</v>
      </c>
      <c r="G140" t="str">
        <f>VLOOKUP(F140,Teams!$A:$B,2,FALSE)</f>
        <v>Team Foresight</v>
      </c>
      <c r="H140">
        <v>112</v>
      </c>
      <c r="I140" t="s">
        <v>10</v>
      </c>
    </row>
    <row r="141" spans="1:9" x14ac:dyDescent="0.45">
      <c r="A141">
        <v>2017</v>
      </c>
      <c r="B141">
        <v>14</v>
      </c>
      <c r="C141" t="s">
        <v>7</v>
      </c>
      <c r="D141" t="str">
        <f>VLOOKUP(C141,Teams!$A:$B,2,FALSE)</f>
        <v>Southern Sharks</v>
      </c>
      <c r="E141">
        <v>130.84</v>
      </c>
      <c r="F141" t="s">
        <v>16</v>
      </c>
      <c r="G141" t="str">
        <f>VLOOKUP(F141,Teams!$A:$B,2,FALSE)</f>
        <v>Denver Donkeys</v>
      </c>
      <c r="H141">
        <v>111.98</v>
      </c>
      <c r="I141" t="s">
        <v>7</v>
      </c>
    </row>
    <row r="142" spans="1:9" x14ac:dyDescent="0.45">
      <c r="A142">
        <v>2015</v>
      </c>
      <c r="B142">
        <v>13</v>
      </c>
      <c r="C142" t="s">
        <v>8</v>
      </c>
      <c r="D142" t="str">
        <f>VLOOKUP(C142,Teams!$A:$B,2,FALSE)</f>
        <v>Belmont Trees</v>
      </c>
      <c r="E142">
        <v>108.28</v>
      </c>
      <c r="F142" t="s">
        <v>11</v>
      </c>
      <c r="G142" t="str">
        <f>VLOOKUP(F142,Teams!$A:$B,2,FALSE)</f>
        <v>Pigskin on the Gridiron</v>
      </c>
      <c r="H142">
        <v>111.96</v>
      </c>
      <c r="I142" t="s">
        <v>11</v>
      </c>
    </row>
    <row r="143" spans="1:9" x14ac:dyDescent="0.45">
      <c r="A143">
        <v>2016</v>
      </c>
      <c r="B143">
        <v>11</v>
      </c>
      <c r="C143" t="s">
        <v>13</v>
      </c>
      <c r="D143" t="str">
        <f>VLOOKUP(C143,Teams!$A:$B,2,FALSE)</f>
        <v>Team Clueless</v>
      </c>
      <c r="E143">
        <v>100.2</v>
      </c>
      <c r="F143" t="s">
        <v>7</v>
      </c>
      <c r="G143" t="str">
        <f>VLOOKUP(F143,Teams!$A:$B,2,FALSE)</f>
        <v>Southern Sharks</v>
      </c>
      <c r="H143">
        <v>111.94</v>
      </c>
      <c r="I143" t="s">
        <v>7</v>
      </c>
    </row>
    <row r="144" spans="1:9" x14ac:dyDescent="0.45">
      <c r="A144">
        <v>2015</v>
      </c>
      <c r="B144">
        <v>2</v>
      </c>
      <c r="C144" t="s">
        <v>8</v>
      </c>
      <c r="D144" t="str">
        <f>VLOOKUP(C144,Teams!$A:$B,2,FALSE)</f>
        <v>Belmont Trees</v>
      </c>
      <c r="E144">
        <v>97.36</v>
      </c>
      <c r="F144" t="s">
        <v>18</v>
      </c>
      <c r="G144" t="str">
        <f>VLOOKUP(F144,Teams!$A:$B,2,FALSE)</f>
        <v>KC Gophers</v>
      </c>
      <c r="H144">
        <v>111.62</v>
      </c>
      <c r="I144" t="s">
        <v>18</v>
      </c>
    </row>
    <row r="145" spans="1:9" x14ac:dyDescent="0.45">
      <c r="A145">
        <v>2018</v>
      </c>
      <c r="B145">
        <v>3</v>
      </c>
      <c r="C145" t="s">
        <v>13</v>
      </c>
      <c r="D145" t="str">
        <f>VLOOKUP(C145,Teams!$A:$B,2,FALSE)</f>
        <v>Team Clueless</v>
      </c>
      <c r="E145">
        <v>145.22</v>
      </c>
      <c r="F145" t="s">
        <v>8</v>
      </c>
      <c r="G145" t="str">
        <f>VLOOKUP(F145,Teams!$A:$B,2,FALSE)</f>
        <v>Belmont Trees</v>
      </c>
      <c r="H145">
        <v>111.5</v>
      </c>
      <c r="I145" t="s">
        <v>13</v>
      </c>
    </row>
    <row r="146" spans="1:9" x14ac:dyDescent="0.45">
      <c r="A146">
        <v>2017</v>
      </c>
      <c r="B146">
        <v>8</v>
      </c>
      <c r="C146" t="s">
        <v>10</v>
      </c>
      <c r="D146" t="str">
        <f>VLOOKUP(C146,Teams!$A:$B,2,FALSE)</f>
        <v>Team Foresight</v>
      </c>
      <c r="E146">
        <v>95.76</v>
      </c>
      <c r="F146" t="s">
        <v>13</v>
      </c>
      <c r="G146" t="str">
        <f>VLOOKUP(F146,Teams!$A:$B,2,FALSE)</f>
        <v>Team Clueless</v>
      </c>
      <c r="H146">
        <v>111.16</v>
      </c>
      <c r="I146" t="s">
        <v>13</v>
      </c>
    </row>
    <row r="147" spans="1:9" x14ac:dyDescent="0.45">
      <c r="A147">
        <v>2016</v>
      </c>
      <c r="B147">
        <v>13</v>
      </c>
      <c r="C147" t="s">
        <v>8</v>
      </c>
      <c r="D147" t="str">
        <f>VLOOKUP(C147,Teams!$A:$B,2,FALSE)</f>
        <v>Belmont Trees</v>
      </c>
      <c r="E147">
        <v>82.96</v>
      </c>
      <c r="F147" t="s">
        <v>11</v>
      </c>
      <c r="G147" t="str">
        <f>VLOOKUP(F147,Teams!$A:$B,2,FALSE)</f>
        <v>Pigskin on the Gridiron</v>
      </c>
      <c r="H147">
        <v>111.12</v>
      </c>
      <c r="I147" t="s">
        <v>11</v>
      </c>
    </row>
    <row r="148" spans="1:9" x14ac:dyDescent="0.45">
      <c r="A148">
        <v>2015</v>
      </c>
      <c r="B148">
        <v>16</v>
      </c>
      <c r="C148" t="s">
        <v>11</v>
      </c>
      <c r="D148" t="str">
        <f>VLOOKUP(C148,Teams!$A:$B,2,FALSE)</f>
        <v>Pigskin on the Gridiron</v>
      </c>
      <c r="E148">
        <v>115.64</v>
      </c>
      <c r="F148" t="s">
        <v>16</v>
      </c>
      <c r="G148" t="str">
        <f>VLOOKUP(F148,Teams!$A:$B,2,FALSE)</f>
        <v>Denver Donkeys</v>
      </c>
      <c r="H148">
        <v>111.08</v>
      </c>
      <c r="I148" t="s">
        <v>11</v>
      </c>
    </row>
    <row r="149" spans="1:9" x14ac:dyDescent="0.45">
      <c r="A149">
        <v>2015</v>
      </c>
      <c r="B149">
        <v>10</v>
      </c>
      <c r="C149" t="s">
        <v>16</v>
      </c>
      <c r="D149" t="str">
        <f>VLOOKUP(C149,Teams!$A:$B,2,FALSE)</f>
        <v>Denver Donkeys</v>
      </c>
      <c r="E149">
        <v>68.2</v>
      </c>
      <c r="F149" t="s">
        <v>8</v>
      </c>
      <c r="G149" t="str">
        <f>VLOOKUP(F149,Teams!$A:$B,2,FALSE)</f>
        <v>Belmont Trees</v>
      </c>
      <c r="H149">
        <v>110.52</v>
      </c>
      <c r="I149" t="s">
        <v>8</v>
      </c>
    </row>
    <row r="150" spans="1:9" x14ac:dyDescent="0.45">
      <c r="A150">
        <v>2016</v>
      </c>
      <c r="B150">
        <v>4</v>
      </c>
      <c r="C150" t="s">
        <v>18</v>
      </c>
      <c r="D150" t="str">
        <f>VLOOKUP(C150,Teams!$A:$B,2,FALSE)</f>
        <v>KC Gophers</v>
      </c>
      <c r="E150">
        <v>110.82</v>
      </c>
      <c r="F150" t="s">
        <v>16</v>
      </c>
      <c r="G150" t="str">
        <f>VLOOKUP(F150,Teams!$A:$B,2,FALSE)</f>
        <v>Denver Donkeys</v>
      </c>
      <c r="H150">
        <v>110.48</v>
      </c>
      <c r="I150" t="s">
        <v>18</v>
      </c>
    </row>
    <row r="151" spans="1:9" x14ac:dyDescent="0.45">
      <c r="A151">
        <v>2015</v>
      </c>
      <c r="B151">
        <v>11</v>
      </c>
      <c r="C151" t="s">
        <v>17</v>
      </c>
      <c r="D151" t="str">
        <f>VLOOKUP(C151,Teams!$A:$B,2,FALSE)</f>
        <v>Turkey Monkeys</v>
      </c>
      <c r="E151">
        <v>90.58</v>
      </c>
      <c r="F151" t="s">
        <v>16</v>
      </c>
      <c r="G151" t="str">
        <f>VLOOKUP(F151,Teams!$A:$B,2,FALSE)</f>
        <v>Denver Donkeys</v>
      </c>
      <c r="H151">
        <v>110.1</v>
      </c>
      <c r="I151" t="s">
        <v>16</v>
      </c>
    </row>
    <row r="152" spans="1:9" x14ac:dyDescent="0.45">
      <c r="A152">
        <v>2018</v>
      </c>
      <c r="B152">
        <v>8</v>
      </c>
      <c r="C152" t="s">
        <v>11</v>
      </c>
      <c r="D152" t="str">
        <f>VLOOKUP(C152,Teams!$A:$B,2,FALSE)</f>
        <v>Pigskin on the Gridiron</v>
      </c>
      <c r="E152">
        <v>153.16</v>
      </c>
      <c r="F152" t="s">
        <v>16</v>
      </c>
      <c r="G152" t="str">
        <f>VLOOKUP(F152,Teams!$A:$B,2,FALSE)</f>
        <v>Denver Donkeys</v>
      </c>
      <c r="H152">
        <v>110.06</v>
      </c>
      <c r="I152" t="s">
        <v>11</v>
      </c>
    </row>
    <row r="153" spans="1:9" x14ac:dyDescent="0.45">
      <c r="A153">
        <v>2015</v>
      </c>
      <c r="B153">
        <v>8</v>
      </c>
      <c r="C153" t="s">
        <v>7</v>
      </c>
      <c r="D153" t="str">
        <f>VLOOKUP(C153,Teams!$A:$B,2,FALSE)</f>
        <v>Southern Sharks</v>
      </c>
      <c r="E153">
        <v>144.44</v>
      </c>
      <c r="F153" t="s">
        <v>17</v>
      </c>
      <c r="G153" t="str">
        <f>VLOOKUP(F153,Teams!$A:$B,2,FALSE)</f>
        <v>Turkey Monkeys</v>
      </c>
      <c r="H153">
        <v>109.78</v>
      </c>
      <c r="I153" t="s">
        <v>7</v>
      </c>
    </row>
    <row r="154" spans="1:9" x14ac:dyDescent="0.45">
      <c r="A154">
        <v>2018</v>
      </c>
      <c r="B154">
        <v>15</v>
      </c>
      <c r="C154" t="s">
        <v>16</v>
      </c>
      <c r="D154" t="str">
        <f>VLOOKUP(C154,Teams!$A:$B,2,FALSE)</f>
        <v>Denver Donkeys</v>
      </c>
      <c r="E154">
        <v>45.44</v>
      </c>
      <c r="F154" t="s">
        <v>15</v>
      </c>
      <c r="G154" t="str">
        <f>VLOOKUP(F154,Teams!$A:$B,2,FALSE)</f>
        <v>Braintree Red Scare</v>
      </c>
      <c r="H154">
        <v>109.6</v>
      </c>
      <c r="I154" t="s">
        <v>15</v>
      </c>
    </row>
    <row r="155" spans="1:9" x14ac:dyDescent="0.45">
      <c r="A155">
        <v>2016</v>
      </c>
      <c r="B155">
        <v>5</v>
      </c>
      <c r="C155" t="s">
        <v>8</v>
      </c>
      <c r="D155" t="str">
        <f>VLOOKUP(C155,Teams!$A:$B,2,FALSE)</f>
        <v>Belmont Trees</v>
      </c>
      <c r="E155">
        <v>92.94</v>
      </c>
      <c r="F155" t="s">
        <v>17</v>
      </c>
      <c r="G155" t="str">
        <f>VLOOKUP(F155,Teams!$A:$B,2,FALSE)</f>
        <v>Turkey Monkeys</v>
      </c>
      <c r="H155">
        <v>109.54</v>
      </c>
      <c r="I155" t="s">
        <v>17</v>
      </c>
    </row>
    <row r="156" spans="1:9" x14ac:dyDescent="0.45">
      <c r="A156">
        <v>2016</v>
      </c>
      <c r="B156">
        <v>13</v>
      </c>
      <c r="C156" t="s">
        <v>14</v>
      </c>
      <c r="D156" t="str">
        <f>VLOOKUP(C156,Teams!$A:$B,2,FALSE)</f>
        <v>Georgia Peanuts</v>
      </c>
      <c r="E156">
        <v>88.06</v>
      </c>
      <c r="F156" t="s">
        <v>10</v>
      </c>
      <c r="G156" t="str">
        <f>VLOOKUP(F156,Teams!$A:$B,2,FALSE)</f>
        <v>Team Foresight</v>
      </c>
      <c r="H156">
        <v>109.5</v>
      </c>
      <c r="I156" t="s">
        <v>10</v>
      </c>
    </row>
    <row r="157" spans="1:9" x14ac:dyDescent="0.45">
      <c r="A157">
        <v>2016</v>
      </c>
      <c r="B157">
        <v>10</v>
      </c>
      <c r="C157" t="s">
        <v>16</v>
      </c>
      <c r="D157" t="str">
        <f>VLOOKUP(C157,Teams!$A:$B,2,FALSE)</f>
        <v>Denver Donkeys</v>
      </c>
      <c r="E157">
        <v>88.44</v>
      </c>
      <c r="F157" t="s">
        <v>8</v>
      </c>
      <c r="G157" t="str">
        <f>VLOOKUP(F157,Teams!$A:$B,2,FALSE)</f>
        <v>Belmont Trees</v>
      </c>
      <c r="H157">
        <v>108.86</v>
      </c>
      <c r="I157" t="s">
        <v>8</v>
      </c>
    </row>
    <row r="158" spans="1:9" x14ac:dyDescent="0.45">
      <c r="A158">
        <v>2016</v>
      </c>
      <c r="B158">
        <v>13</v>
      </c>
      <c r="C158" t="s">
        <v>16</v>
      </c>
      <c r="D158" t="str">
        <f>VLOOKUP(C158,Teams!$A:$B,2,FALSE)</f>
        <v>Denver Donkeys</v>
      </c>
      <c r="E158">
        <v>75.099999999999994</v>
      </c>
      <c r="F158" t="s">
        <v>18</v>
      </c>
      <c r="G158" t="str">
        <f>VLOOKUP(F158,Teams!$A:$B,2,FALSE)</f>
        <v>KC Gophers</v>
      </c>
      <c r="H158">
        <v>108.56</v>
      </c>
      <c r="I158" t="s">
        <v>18</v>
      </c>
    </row>
    <row r="159" spans="1:9" x14ac:dyDescent="0.45">
      <c r="A159">
        <v>2018</v>
      </c>
      <c r="B159">
        <v>10</v>
      </c>
      <c r="C159" t="s">
        <v>14</v>
      </c>
      <c r="D159" t="str">
        <f>VLOOKUP(C159,Teams!$A:$B,2,FALSE)</f>
        <v>Georgia Peanuts</v>
      </c>
      <c r="E159">
        <v>169.7</v>
      </c>
      <c r="F159" t="s">
        <v>7</v>
      </c>
      <c r="G159" t="str">
        <f>VLOOKUP(F159,Teams!$A:$B,2,FALSE)</f>
        <v>Southern Sharks</v>
      </c>
      <c r="H159">
        <v>108.54</v>
      </c>
      <c r="I159" t="s">
        <v>14</v>
      </c>
    </row>
    <row r="160" spans="1:9" x14ac:dyDescent="0.45">
      <c r="A160">
        <v>2014</v>
      </c>
      <c r="B160">
        <v>1</v>
      </c>
      <c r="C160" t="s">
        <v>9</v>
      </c>
      <c r="D160" t="str">
        <f>VLOOKUP(C160,Teams!$A:$B,2,FALSE)</f>
        <v>Team Going</v>
      </c>
      <c r="E160">
        <v>99.2</v>
      </c>
      <c r="F160" t="s">
        <v>10</v>
      </c>
      <c r="G160" t="str">
        <f>VLOOKUP(F160,Teams!$A:$B,2,FALSE)</f>
        <v>Team Foresight</v>
      </c>
      <c r="H160">
        <v>107.9</v>
      </c>
      <c r="I160" t="s">
        <v>10</v>
      </c>
    </row>
    <row r="161" spans="1:9" x14ac:dyDescent="0.45">
      <c r="A161">
        <v>2017</v>
      </c>
      <c r="B161">
        <v>10</v>
      </c>
      <c r="C161" t="s">
        <v>17</v>
      </c>
      <c r="D161" t="str">
        <f>VLOOKUP(C161,Teams!$A:$B,2,FALSE)</f>
        <v>Turkey Monkeys</v>
      </c>
      <c r="E161">
        <v>115.22</v>
      </c>
      <c r="F161" t="s">
        <v>15</v>
      </c>
      <c r="G161" t="str">
        <f>VLOOKUP(F161,Teams!$A:$B,2,FALSE)</f>
        <v>Braintree Red Scare</v>
      </c>
      <c r="H161">
        <v>107.7</v>
      </c>
      <c r="I161" t="s">
        <v>17</v>
      </c>
    </row>
    <row r="162" spans="1:9" x14ac:dyDescent="0.45">
      <c r="A162">
        <v>2014</v>
      </c>
      <c r="B162">
        <v>2</v>
      </c>
      <c r="C162" t="s">
        <v>18</v>
      </c>
      <c r="D162" t="str">
        <f>VLOOKUP(C162,Teams!$A:$B,2,FALSE)</f>
        <v>KC Gophers</v>
      </c>
      <c r="E162">
        <v>130.80000000000001</v>
      </c>
      <c r="F162" t="s">
        <v>13</v>
      </c>
      <c r="G162" t="str">
        <f>VLOOKUP(F162,Teams!$A:$B,2,FALSE)</f>
        <v>Team Clueless</v>
      </c>
      <c r="H162">
        <v>107.5</v>
      </c>
      <c r="I162" t="s">
        <v>18</v>
      </c>
    </row>
    <row r="163" spans="1:9" x14ac:dyDescent="0.45">
      <c r="A163">
        <v>2015</v>
      </c>
      <c r="B163">
        <v>16</v>
      </c>
      <c r="C163" t="s">
        <v>7</v>
      </c>
      <c r="D163" t="str">
        <f>VLOOKUP(C163,Teams!$A:$B,2,FALSE)</f>
        <v>Southern Sharks</v>
      </c>
      <c r="E163">
        <v>107.66</v>
      </c>
      <c r="F163" t="s">
        <v>10</v>
      </c>
      <c r="G163" t="str">
        <f>VLOOKUP(F163,Teams!$A:$B,2,FALSE)</f>
        <v>Team Foresight</v>
      </c>
      <c r="H163">
        <v>107.42</v>
      </c>
      <c r="I163" t="s">
        <v>7</v>
      </c>
    </row>
    <row r="164" spans="1:9" x14ac:dyDescent="0.45">
      <c r="A164">
        <v>2017</v>
      </c>
      <c r="B164">
        <v>16</v>
      </c>
      <c r="C164" t="s">
        <v>14</v>
      </c>
      <c r="D164" t="str">
        <f>VLOOKUP(C164,Teams!$A:$B,2,FALSE)</f>
        <v>Georgia Peanuts</v>
      </c>
      <c r="E164">
        <v>139.80000000000001</v>
      </c>
      <c r="F164" t="s">
        <v>8</v>
      </c>
      <c r="G164" t="str">
        <f>VLOOKUP(F164,Teams!$A:$B,2,FALSE)</f>
        <v>Belmont Trees</v>
      </c>
      <c r="H164">
        <v>107.14</v>
      </c>
      <c r="I164" t="s">
        <v>14</v>
      </c>
    </row>
    <row r="165" spans="1:9" x14ac:dyDescent="0.45">
      <c r="A165">
        <v>2015</v>
      </c>
      <c r="B165">
        <v>6</v>
      </c>
      <c r="C165" t="s">
        <v>7</v>
      </c>
      <c r="D165" t="str">
        <f>VLOOKUP(C165,Teams!$A:$B,2,FALSE)</f>
        <v>Southern Sharks</v>
      </c>
      <c r="E165">
        <v>126.08</v>
      </c>
      <c r="F165" t="s">
        <v>8</v>
      </c>
      <c r="G165" t="str">
        <f>VLOOKUP(F165,Teams!$A:$B,2,FALSE)</f>
        <v>Belmont Trees</v>
      </c>
      <c r="H165">
        <v>106.8</v>
      </c>
      <c r="I165" t="s">
        <v>7</v>
      </c>
    </row>
    <row r="166" spans="1:9" x14ac:dyDescent="0.45">
      <c r="A166">
        <v>2016</v>
      </c>
      <c r="B166">
        <v>2</v>
      </c>
      <c r="C166" t="s">
        <v>16</v>
      </c>
      <c r="D166" t="str">
        <f>VLOOKUP(C166,Teams!$A:$B,2,FALSE)</f>
        <v>Denver Donkeys</v>
      </c>
      <c r="E166">
        <v>105.22</v>
      </c>
      <c r="F166" t="s">
        <v>17</v>
      </c>
      <c r="G166" t="str">
        <f>VLOOKUP(F166,Teams!$A:$B,2,FALSE)</f>
        <v>Turkey Monkeys</v>
      </c>
      <c r="H166">
        <v>106.74</v>
      </c>
      <c r="I166" t="s">
        <v>17</v>
      </c>
    </row>
    <row r="167" spans="1:9" x14ac:dyDescent="0.45">
      <c r="A167">
        <v>2017</v>
      </c>
      <c r="B167">
        <v>7</v>
      </c>
      <c r="C167" t="s">
        <v>16</v>
      </c>
      <c r="D167" t="str">
        <f>VLOOKUP(C167,Teams!$A:$B,2,FALSE)</f>
        <v>Denver Donkeys</v>
      </c>
      <c r="E167">
        <v>115.36</v>
      </c>
      <c r="F167" t="s">
        <v>14</v>
      </c>
      <c r="G167" t="str">
        <f>VLOOKUP(F167,Teams!$A:$B,2,FALSE)</f>
        <v>Georgia Peanuts</v>
      </c>
      <c r="H167">
        <v>106.42</v>
      </c>
      <c r="I167" t="s">
        <v>16</v>
      </c>
    </row>
    <row r="168" spans="1:9" x14ac:dyDescent="0.45">
      <c r="A168">
        <v>2018</v>
      </c>
      <c r="B168">
        <v>5</v>
      </c>
      <c r="C168" t="s">
        <v>10</v>
      </c>
      <c r="D168" t="str">
        <f>VLOOKUP(C168,Teams!$A:$B,2,FALSE)</f>
        <v>Team Foresight</v>
      </c>
      <c r="E168">
        <v>117.3</v>
      </c>
      <c r="F168" t="s">
        <v>14</v>
      </c>
      <c r="G168" t="str">
        <f>VLOOKUP(F168,Teams!$A:$B,2,FALSE)</f>
        <v>Georgia Peanuts</v>
      </c>
      <c r="H168">
        <v>106.38</v>
      </c>
      <c r="I168" t="s">
        <v>10</v>
      </c>
    </row>
    <row r="169" spans="1:9" x14ac:dyDescent="0.45">
      <c r="A169">
        <v>2018</v>
      </c>
      <c r="B169">
        <v>4</v>
      </c>
      <c r="C169" t="s">
        <v>18</v>
      </c>
      <c r="D169" t="str">
        <f>VLOOKUP(C169,Teams!$A:$B,2,FALSE)</f>
        <v>KC Gophers</v>
      </c>
      <c r="E169">
        <v>99.46</v>
      </c>
      <c r="F169" t="s">
        <v>16</v>
      </c>
      <c r="G169" t="str">
        <f>VLOOKUP(F169,Teams!$A:$B,2,FALSE)</f>
        <v>Denver Donkeys</v>
      </c>
      <c r="H169">
        <v>106.3</v>
      </c>
      <c r="I169" t="s">
        <v>16</v>
      </c>
    </row>
    <row r="170" spans="1:9" x14ac:dyDescent="0.45">
      <c r="A170">
        <v>2018</v>
      </c>
      <c r="B170">
        <v>11</v>
      </c>
      <c r="C170" t="s">
        <v>10</v>
      </c>
      <c r="D170" t="str">
        <f>VLOOKUP(C170,Teams!$A:$B,2,FALSE)</f>
        <v>Team Foresight</v>
      </c>
      <c r="E170">
        <v>101.62</v>
      </c>
      <c r="F170" t="s">
        <v>15</v>
      </c>
      <c r="G170" t="str">
        <f>VLOOKUP(F170,Teams!$A:$B,2,FALSE)</f>
        <v>Braintree Red Scare</v>
      </c>
      <c r="H170">
        <v>106.12</v>
      </c>
      <c r="I170" t="s">
        <v>15</v>
      </c>
    </row>
    <row r="171" spans="1:9" x14ac:dyDescent="0.45">
      <c r="A171">
        <v>2016</v>
      </c>
      <c r="B171">
        <v>10</v>
      </c>
      <c r="C171" t="s">
        <v>11</v>
      </c>
      <c r="D171" t="str">
        <f>VLOOKUP(C171,Teams!$A:$B,2,FALSE)</f>
        <v>Pigskin on the Gridiron</v>
      </c>
      <c r="E171">
        <v>106.9</v>
      </c>
      <c r="F171" t="s">
        <v>10</v>
      </c>
      <c r="G171" t="str">
        <f>VLOOKUP(F171,Teams!$A:$B,2,FALSE)</f>
        <v>Team Foresight</v>
      </c>
      <c r="H171">
        <v>105.98</v>
      </c>
      <c r="I171" t="s">
        <v>11</v>
      </c>
    </row>
    <row r="172" spans="1:9" x14ac:dyDescent="0.45">
      <c r="A172">
        <v>2015</v>
      </c>
      <c r="B172">
        <v>5</v>
      </c>
      <c r="C172" t="s">
        <v>10</v>
      </c>
      <c r="D172" t="str">
        <f>VLOOKUP(C172,Teams!$A:$B,2,FALSE)</f>
        <v>Team Foresight</v>
      </c>
      <c r="E172">
        <v>129.22</v>
      </c>
      <c r="F172" t="s">
        <v>14</v>
      </c>
      <c r="G172" t="str">
        <f>VLOOKUP(F172,Teams!$A:$B,2,FALSE)</f>
        <v>Georgia Peanuts</v>
      </c>
      <c r="H172">
        <v>105.94</v>
      </c>
      <c r="I172" t="s">
        <v>10</v>
      </c>
    </row>
    <row r="173" spans="1:9" x14ac:dyDescent="0.45">
      <c r="A173">
        <v>2016</v>
      </c>
      <c r="B173">
        <v>2</v>
      </c>
      <c r="C173" t="s">
        <v>10</v>
      </c>
      <c r="D173" t="str">
        <f>VLOOKUP(C173,Teams!$A:$B,2,FALSE)</f>
        <v>Team Foresight</v>
      </c>
      <c r="E173">
        <v>95</v>
      </c>
      <c r="F173" t="s">
        <v>11</v>
      </c>
      <c r="G173" t="str">
        <f>VLOOKUP(F173,Teams!$A:$B,2,FALSE)</f>
        <v>Pigskin on the Gridiron</v>
      </c>
      <c r="H173">
        <v>105.88</v>
      </c>
      <c r="I173" t="s">
        <v>11</v>
      </c>
    </row>
    <row r="174" spans="1:9" x14ac:dyDescent="0.45">
      <c r="A174">
        <v>2018</v>
      </c>
      <c r="B174">
        <v>15</v>
      </c>
      <c r="C174" t="s">
        <v>13</v>
      </c>
      <c r="D174" t="str">
        <f>VLOOKUP(C174,Teams!$A:$B,2,FALSE)</f>
        <v>Team Clueless</v>
      </c>
      <c r="E174">
        <v>124.42</v>
      </c>
      <c r="F174" t="s">
        <v>14</v>
      </c>
      <c r="G174" t="str">
        <f>VLOOKUP(F174,Teams!$A:$B,2,FALSE)</f>
        <v>Georgia Peanuts</v>
      </c>
      <c r="H174">
        <v>105.86</v>
      </c>
      <c r="I174" t="s">
        <v>13</v>
      </c>
    </row>
    <row r="175" spans="1:9" x14ac:dyDescent="0.45">
      <c r="A175">
        <v>2015</v>
      </c>
      <c r="B175">
        <v>8</v>
      </c>
      <c r="C175" t="s">
        <v>11</v>
      </c>
      <c r="D175" t="str">
        <f>VLOOKUP(C175,Teams!$A:$B,2,FALSE)</f>
        <v>Pigskin on the Gridiron</v>
      </c>
      <c r="E175">
        <v>121.58</v>
      </c>
      <c r="F175" t="s">
        <v>16</v>
      </c>
      <c r="G175" t="str">
        <f>VLOOKUP(F175,Teams!$A:$B,2,FALSE)</f>
        <v>Denver Donkeys</v>
      </c>
      <c r="H175">
        <v>105.8</v>
      </c>
      <c r="I175" t="s">
        <v>11</v>
      </c>
    </row>
    <row r="176" spans="1:9" x14ac:dyDescent="0.45">
      <c r="A176">
        <v>2017</v>
      </c>
      <c r="B176">
        <v>3</v>
      </c>
      <c r="C176" t="s">
        <v>15</v>
      </c>
      <c r="D176" t="str">
        <f>VLOOKUP(C176,Teams!$A:$B,2,FALSE)</f>
        <v>Braintree Red Scare</v>
      </c>
      <c r="E176">
        <v>73.319999999999993</v>
      </c>
      <c r="F176" t="s">
        <v>10</v>
      </c>
      <c r="G176" t="str">
        <f>VLOOKUP(F176,Teams!$A:$B,2,FALSE)</f>
        <v>Team Foresight</v>
      </c>
      <c r="H176">
        <v>105.74</v>
      </c>
      <c r="I176" t="s">
        <v>10</v>
      </c>
    </row>
    <row r="177" spans="1:9" x14ac:dyDescent="0.45">
      <c r="A177">
        <v>2018</v>
      </c>
      <c r="B177">
        <v>4</v>
      </c>
      <c r="C177" t="s">
        <v>8</v>
      </c>
      <c r="D177" t="str">
        <f>VLOOKUP(C177,Teams!$A:$B,2,FALSE)</f>
        <v>Belmont Trees</v>
      </c>
      <c r="E177">
        <v>116.22</v>
      </c>
      <c r="F177" t="s">
        <v>10</v>
      </c>
      <c r="G177" t="str">
        <f>VLOOKUP(F177,Teams!$A:$B,2,FALSE)</f>
        <v>Team Foresight</v>
      </c>
      <c r="H177">
        <v>105.64</v>
      </c>
      <c r="I177" t="s">
        <v>8</v>
      </c>
    </row>
    <row r="178" spans="1:9" x14ac:dyDescent="0.45">
      <c r="A178">
        <v>2016</v>
      </c>
      <c r="B178">
        <v>4</v>
      </c>
      <c r="C178" t="s">
        <v>8</v>
      </c>
      <c r="D178" t="str">
        <f>VLOOKUP(C178,Teams!$A:$B,2,FALSE)</f>
        <v>Belmont Trees</v>
      </c>
      <c r="E178">
        <v>146.26</v>
      </c>
      <c r="F178" t="s">
        <v>10</v>
      </c>
      <c r="G178" t="str">
        <f>VLOOKUP(F178,Teams!$A:$B,2,FALSE)</f>
        <v>Team Foresight</v>
      </c>
      <c r="H178">
        <v>105.52</v>
      </c>
      <c r="I178" t="s">
        <v>8</v>
      </c>
    </row>
    <row r="179" spans="1:9" x14ac:dyDescent="0.45">
      <c r="A179">
        <v>2015</v>
      </c>
      <c r="B179">
        <v>13</v>
      </c>
      <c r="C179" t="s">
        <v>14</v>
      </c>
      <c r="D179" t="str">
        <f>VLOOKUP(C179,Teams!$A:$B,2,FALSE)</f>
        <v>Georgia Peanuts</v>
      </c>
      <c r="E179">
        <v>117.72</v>
      </c>
      <c r="F179" t="s">
        <v>10</v>
      </c>
      <c r="G179" t="str">
        <f>VLOOKUP(F179,Teams!$A:$B,2,FALSE)</f>
        <v>Team Foresight</v>
      </c>
      <c r="H179">
        <v>105.4</v>
      </c>
      <c r="I179" t="s">
        <v>14</v>
      </c>
    </row>
    <row r="180" spans="1:9" x14ac:dyDescent="0.45">
      <c r="A180">
        <v>2017</v>
      </c>
      <c r="B180">
        <v>4</v>
      </c>
      <c r="C180" t="s">
        <v>8</v>
      </c>
      <c r="D180" t="str">
        <f>VLOOKUP(C180,Teams!$A:$B,2,FALSE)</f>
        <v>Belmont Trees</v>
      </c>
      <c r="E180">
        <v>88</v>
      </c>
      <c r="F180" t="s">
        <v>10</v>
      </c>
      <c r="G180" t="str">
        <f>VLOOKUP(F180,Teams!$A:$B,2,FALSE)</f>
        <v>Team Foresight</v>
      </c>
      <c r="H180">
        <v>105.32</v>
      </c>
      <c r="I180" t="s">
        <v>10</v>
      </c>
    </row>
    <row r="181" spans="1:9" x14ac:dyDescent="0.45">
      <c r="A181">
        <v>2016</v>
      </c>
      <c r="B181">
        <v>4</v>
      </c>
      <c r="C181" t="s">
        <v>14</v>
      </c>
      <c r="D181" t="str">
        <f>VLOOKUP(C181,Teams!$A:$B,2,FALSE)</f>
        <v>Georgia Peanuts</v>
      </c>
      <c r="E181">
        <v>95.4</v>
      </c>
      <c r="F181" t="s">
        <v>15</v>
      </c>
      <c r="G181" t="str">
        <f>VLOOKUP(F181,Teams!$A:$B,2,FALSE)</f>
        <v>Braintree Red Scare</v>
      </c>
      <c r="H181">
        <v>105.3</v>
      </c>
      <c r="I181" t="s">
        <v>15</v>
      </c>
    </row>
    <row r="182" spans="1:9" x14ac:dyDescent="0.45">
      <c r="A182">
        <v>2018</v>
      </c>
      <c r="B182">
        <v>1</v>
      </c>
      <c r="C182" t="s">
        <v>10</v>
      </c>
      <c r="D182" t="str">
        <f>VLOOKUP(C182,Teams!$A:$B,2,FALSE)</f>
        <v>Team Foresight</v>
      </c>
      <c r="E182">
        <v>102.54</v>
      </c>
      <c r="F182" t="s">
        <v>7</v>
      </c>
      <c r="G182" t="str">
        <f>VLOOKUP(F182,Teams!$A:$B,2,FALSE)</f>
        <v>Southern Sharks</v>
      </c>
      <c r="H182">
        <v>105.18</v>
      </c>
      <c r="I182" t="s">
        <v>7</v>
      </c>
    </row>
    <row r="183" spans="1:9" x14ac:dyDescent="0.45">
      <c r="A183">
        <v>2016</v>
      </c>
      <c r="B183">
        <v>12</v>
      </c>
      <c r="C183" t="s">
        <v>8</v>
      </c>
      <c r="D183" t="str">
        <f>VLOOKUP(C183,Teams!$A:$B,2,FALSE)</f>
        <v>Belmont Trees</v>
      </c>
      <c r="E183">
        <v>104.2</v>
      </c>
      <c r="F183" t="s">
        <v>13</v>
      </c>
      <c r="G183" t="str">
        <f>VLOOKUP(F183,Teams!$A:$B,2,FALSE)</f>
        <v>Team Clueless</v>
      </c>
      <c r="H183">
        <v>105.14</v>
      </c>
      <c r="I183" t="s">
        <v>13</v>
      </c>
    </row>
    <row r="184" spans="1:9" x14ac:dyDescent="0.45">
      <c r="A184">
        <v>2015</v>
      </c>
      <c r="B184">
        <v>12</v>
      </c>
      <c r="C184" t="s">
        <v>16</v>
      </c>
      <c r="D184" t="str">
        <f>VLOOKUP(C184,Teams!$A:$B,2,FALSE)</f>
        <v>Denver Donkeys</v>
      </c>
      <c r="E184">
        <v>94.98</v>
      </c>
      <c r="F184" t="s">
        <v>10</v>
      </c>
      <c r="G184" t="str">
        <f>VLOOKUP(F184,Teams!$A:$B,2,FALSE)</f>
        <v>Team Foresight</v>
      </c>
      <c r="H184">
        <v>105.12</v>
      </c>
      <c r="I184" t="s">
        <v>10</v>
      </c>
    </row>
    <row r="185" spans="1:9" x14ac:dyDescent="0.45">
      <c r="A185">
        <v>2014</v>
      </c>
      <c r="B185">
        <v>5</v>
      </c>
      <c r="C185" t="s">
        <v>12</v>
      </c>
      <c r="D185" t="str">
        <f>VLOOKUP(C185,Teams!$A:$B,2,FALSE)</f>
        <v>Athens Ospreys</v>
      </c>
      <c r="E185">
        <v>104</v>
      </c>
      <c r="F185" t="s">
        <v>10</v>
      </c>
      <c r="G185" t="str">
        <f>VLOOKUP(F185,Teams!$A:$B,2,FALSE)</f>
        <v>Team Foresight</v>
      </c>
      <c r="H185">
        <v>104.9</v>
      </c>
      <c r="I185" t="s">
        <v>10</v>
      </c>
    </row>
    <row r="186" spans="1:9" x14ac:dyDescent="0.45">
      <c r="A186">
        <v>2014</v>
      </c>
      <c r="B186">
        <v>15</v>
      </c>
      <c r="C186" t="s">
        <v>17</v>
      </c>
      <c r="D186" t="str">
        <f>VLOOKUP(C186,Teams!$A:$B,2,FALSE)</f>
        <v>Turkey Monkeys</v>
      </c>
      <c r="E186">
        <v>96.6</v>
      </c>
      <c r="F186" t="s">
        <v>8</v>
      </c>
      <c r="G186" t="str">
        <f>VLOOKUP(F186,Teams!$A:$B,2,FALSE)</f>
        <v>Belmont Trees</v>
      </c>
      <c r="H186">
        <v>104.8</v>
      </c>
      <c r="I186" t="s">
        <v>8</v>
      </c>
    </row>
    <row r="187" spans="1:9" x14ac:dyDescent="0.45">
      <c r="A187">
        <v>2017</v>
      </c>
      <c r="B187">
        <v>13</v>
      </c>
      <c r="C187" t="s">
        <v>13</v>
      </c>
      <c r="D187" t="str">
        <f>VLOOKUP(C187,Teams!$A:$B,2,FALSE)</f>
        <v>Team Clueless</v>
      </c>
      <c r="E187">
        <v>79.02</v>
      </c>
      <c r="F187" t="s">
        <v>17</v>
      </c>
      <c r="G187" t="str">
        <f>VLOOKUP(F187,Teams!$A:$B,2,FALSE)</f>
        <v>Turkey Monkeys</v>
      </c>
      <c r="H187">
        <v>104.74</v>
      </c>
      <c r="I187" t="s">
        <v>17</v>
      </c>
    </row>
    <row r="188" spans="1:9" x14ac:dyDescent="0.45">
      <c r="A188">
        <v>2015</v>
      </c>
      <c r="B188">
        <v>3</v>
      </c>
      <c r="C188" t="s">
        <v>16</v>
      </c>
      <c r="D188" t="str">
        <f>VLOOKUP(C188,Teams!$A:$B,2,FALSE)</f>
        <v>Denver Donkeys</v>
      </c>
      <c r="E188">
        <v>84.26</v>
      </c>
      <c r="F188" t="s">
        <v>7</v>
      </c>
      <c r="G188" t="str">
        <f>VLOOKUP(F188,Teams!$A:$B,2,FALSE)</f>
        <v>Southern Sharks</v>
      </c>
      <c r="H188">
        <v>104.6</v>
      </c>
      <c r="I188" t="s">
        <v>7</v>
      </c>
    </row>
    <row r="189" spans="1:9" x14ac:dyDescent="0.45">
      <c r="A189">
        <v>2014</v>
      </c>
      <c r="B189">
        <v>14</v>
      </c>
      <c r="C189" t="s">
        <v>15</v>
      </c>
      <c r="D189" t="str">
        <f>VLOOKUP(C189,Teams!$A:$B,2,FALSE)</f>
        <v>Braintree Red Scare</v>
      </c>
      <c r="E189">
        <v>121.2</v>
      </c>
      <c r="F189" t="s">
        <v>7</v>
      </c>
      <c r="G189" t="str">
        <f>VLOOKUP(F189,Teams!$A:$B,2,FALSE)</f>
        <v>Southern Sharks</v>
      </c>
      <c r="H189">
        <v>104.1</v>
      </c>
      <c r="I189" t="s">
        <v>15</v>
      </c>
    </row>
    <row r="190" spans="1:9" x14ac:dyDescent="0.45">
      <c r="A190">
        <v>2018</v>
      </c>
      <c r="B190">
        <v>7</v>
      </c>
      <c r="C190" t="s">
        <v>17</v>
      </c>
      <c r="D190" t="str">
        <f>VLOOKUP(C190,Teams!$A:$B,2,FALSE)</f>
        <v>Turkey Monkeys</v>
      </c>
      <c r="E190">
        <v>134.13999999999999</v>
      </c>
      <c r="F190" t="s">
        <v>10</v>
      </c>
      <c r="G190" t="str">
        <f>VLOOKUP(F190,Teams!$A:$B,2,FALSE)</f>
        <v>Team Foresight</v>
      </c>
      <c r="H190">
        <v>103.86</v>
      </c>
      <c r="I190" t="s">
        <v>17</v>
      </c>
    </row>
    <row r="191" spans="1:9" x14ac:dyDescent="0.45">
      <c r="A191">
        <v>2015</v>
      </c>
      <c r="B191">
        <v>12</v>
      </c>
      <c r="C191" t="s">
        <v>15</v>
      </c>
      <c r="D191" t="str">
        <f>VLOOKUP(C191,Teams!$A:$B,2,FALSE)</f>
        <v>Braintree Red Scare</v>
      </c>
      <c r="E191">
        <v>93.42</v>
      </c>
      <c r="F191" t="s">
        <v>14</v>
      </c>
      <c r="G191" t="str">
        <f>VLOOKUP(F191,Teams!$A:$B,2,FALSE)</f>
        <v>Georgia Peanuts</v>
      </c>
      <c r="H191">
        <v>103.84</v>
      </c>
      <c r="I191" t="s">
        <v>14</v>
      </c>
    </row>
    <row r="192" spans="1:9" x14ac:dyDescent="0.45">
      <c r="A192">
        <v>2016</v>
      </c>
      <c r="B192">
        <v>8</v>
      </c>
      <c r="C192" t="s">
        <v>15</v>
      </c>
      <c r="D192" t="str">
        <f>VLOOKUP(C192,Teams!$A:$B,2,FALSE)</f>
        <v>Braintree Red Scare</v>
      </c>
      <c r="E192">
        <v>105.96</v>
      </c>
      <c r="F192" t="s">
        <v>18</v>
      </c>
      <c r="G192" t="str">
        <f>VLOOKUP(F192,Teams!$A:$B,2,FALSE)</f>
        <v>KC Gophers</v>
      </c>
      <c r="H192">
        <v>103.04</v>
      </c>
      <c r="I192" t="s">
        <v>15</v>
      </c>
    </row>
    <row r="193" spans="1:9" x14ac:dyDescent="0.45">
      <c r="A193">
        <v>2018</v>
      </c>
      <c r="B193">
        <v>2</v>
      </c>
      <c r="C193" t="s">
        <v>16</v>
      </c>
      <c r="D193" t="str">
        <f>VLOOKUP(C193,Teams!$A:$B,2,FALSE)</f>
        <v>Denver Donkeys</v>
      </c>
      <c r="E193">
        <v>110.1</v>
      </c>
      <c r="F193" t="s">
        <v>17</v>
      </c>
      <c r="G193" t="str">
        <f>VLOOKUP(F193,Teams!$A:$B,2,FALSE)</f>
        <v>Turkey Monkeys</v>
      </c>
      <c r="H193">
        <v>102.78</v>
      </c>
      <c r="I193" t="s">
        <v>16</v>
      </c>
    </row>
    <row r="194" spans="1:9" x14ac:dyDescent="0.45">
      <c r="A194">
        <v>2015</v>
      </c>
      <c r="B194">
        <v>7</v>
      </c>
      <c r="C194" t="s">
        <v>13</v>
      </c>
      <c r="D194" t="str">
        <f>VLOOKUP(C194,Teams!$A:$B,2,FALSE)</f>
        <v>Team Clueless</v>
      </c>
      <c r="E194">
        <v>89.4</v>
      </c>
      <c r="F194" t="s">
        <v>11</v>
      </c>
      <c r="G194" t="str">
        <f>VLOOKUP(F194,Teams!$A:$B,2,FALSE)</f>
        <v>Pigskin on the Gridiron</v>
      </c>
      <c r="H194">
        <v>102.64</v>
      </c>
      <c r="I194" t="s">
        <v>11</v>
      </c>
    </row>
    <row r="195" spans="1:9" x14ac:dyDescent="0.45">
      <c r="A195">
        <v>2014</v>
      </c>
      <c r="B195">
        <v>11</v>
      </c>
      <c r="C195" t="s">
        <v>15</v>
      </c>
      <c r="D195" t="str">
        <f>VLOOKUP(C195,Teams!$A:$B,2,FALSE)</f>
        <v>Braintree Red Scare</v>
      </c>
      <c r="E195">
        <v>86.6</v>
      </c>
      <c r="F195" t="s">
        <v>11</v>
      </c>
      <c r="G195" t="str">
        <f>VLOOKUP(F195,Teams!$A:$B,2,FALSE)</f>
        <v>Pigskin on the Gridiron</v>
      </c>
      <c r="H195">
        <v>102.5</v>
      </c>
      <c r="I195" t="s">
        <v>11</v>
      </c>
    </row>
    <row r="196" spans="1:9" x14ac:dyDescent="0.45">
      <c r="A196">
        <v>2014</v>
      </c>
      <c r="B196">
        <v>16</v>
      </c>
      <c r="C196" t="s">
        <v>17</v>
      </c>
      <c r="D196" t="str">
        <f>VLOOKUP(C196,Teams!$A:$B,2,FALSE)</f>
        <v>Turkey Monkeys</v>
      </c>
      <c r="E196">
        <v>85.4</v>
      </c>
      <c r="F196" t="s">
        <v>14</v>
      </c>
      <c r="G196" t="str">
        <f>VLOOKUP(F196,Teams!$A:$B,2,FALSE)</f>
        <v>Georgia Peanuts</v>
      </c>
      <c r="H196">
        <v>102.5</v>
      </c>
      <c r="I196" t="s">
        <v>14</v>
      </c>
    </row>
    <row r="197" spans="1:9" x14ac:dyDescent="0.45">
      <c r="A197">
        <v>2017</v>
      </c>
      <c r="B197">
        <v>11</v>
      </c>
      <c r="C197" t="s">
        <v>18</v>
      </c>
      <c r="D197" t="str">
        <f>VLOOKUP(C197,Teams!$A:$B,2,FALSE)</f>
        <v>KC Gophers</v>
      </c>
      <c r="E197">
        <v>101.32</v>
      </c>
      <c r="F197" t="s">
        <v>8</v>
      </c>
      <c r="G197" t="str">
        <f>VLOOKUP(F197,Teams!$A:$B,2,FALSE)</f>
        <v>Belmont Trees</v>
      </c>
      <c r="H197">
        <v>102.32</v>
      </c>
      <c r="I197" t="s">
        <v>8</v>
      </c>
    </row>
    <row r="198" spans="1:9" x14ac:dyDescent="0.45">
      <c r="A198">
        <v>2017</v>
      </c>
      <c r="B198">
        <v>8</v>
      </c>
      <c r="C198" t="s">
        <v>11</v>
      </c>
      <c r="D198" t="str">
        <f>VLOOKUP(C198,Teams!$A:$B,2,FALSE)</f>
        <v>Pigskin on the Gridiron</v>
      </c>
      <c r="E198">
        <v>112.56</v>
      </c>
      <c r="F198" t="s">
        <v>16</v>
      </c>
      <c r="G198" t="str">
        <f>VLOOKUP(F198,Teams!$A:$B,2,FALSE)</f>
        <v>Denver Donkeys</v>
      </c>
      <c r="H198">
        <v>102.2</v>
      </c>
      <c r="I198" t="s">
        <v>11</v>
      </c>
    </row>
    <row r="199" spans="1:9" x14ac:dyDescent="0.45">
      <c r="A199">
        <v>2014</v>
      </c>
      <c r="B199">
        <v>16</v>
      </c>
      <c r="C199" t="s">
        <v>16</v>
      </c>
      <c r="D199" t="str">
        <f>VLOOKUP(C199,Teams!$A:$B,2,FALSE)</f>
        <v>Denver Donkeys</v>
      </c>
      <c r="E199">
        <v>121.2</v>
      </c>
      <c r="F199" t="s">
        <v>11</v>
      </c>
      <c r="G199" t="str">
        <f>VLOOKUP(F199,Teams!$A:$B,2,FALSE)</f>
        <v>Pigskin on the Gridiron</v>
      </c>
      <c r="H199">
        <v>102.1</v>
      </c>
      <c r="I199" t="s">
        <v>16</v>
      </c>
    </row>
    <row r="200" spans="1:9" x14ac:dyDescent="0.45">
      <c r="A200">
        <v>2014</v>
      </c>
      <c r="B200">
        <v>10</v>
      </c>
      <c r="C200" t="s">
        <v>7</v>
      </c>
      <c r="D200" t="str">
        <f>VLOOKUP(C200,Teams!$A:$B,2,FALSE)</f>
        <v>Southern Sharks</v>
      </c>
      <c r="E200">
        <v>116</v>
      </c>
      <c r="F200" t="s">
        <v>18</v>
      </c>
      <c r="G200" t="str">
        <f>VLOOKUP(F200,Teams!$A:$B,2,FALSE)</f>
        <v>KC Gophers</v>
      </c>
      <c r="H200">
        <v>102.1</v>
      </c>
      <c r="I200" t="s">
        <v>7</v>
      </c>
    </row>
    <row r="201" spans="1:9" x14ac:dyDescent="0.45">
      <c r="A201">
        <v>2016</v>
      </c>
      <c r="B201">
        <v>15</v>
      </c>
      <c r="C201" t="s">
        <v>13</v>
      </c>
      <c r="D201" t="str">
        <f>VLOOKUP(C201,Teams!$A:$B,2,FALSE)</f>
        <v>Team Clueless</v>
      </c>
      <c r="E201">
        <v>114.76</v>
      </c>
      <c r="F201" t="s">
        <v>18</v>
      </c>
      <c r="G201" t="str">
        <f>VLOOKUP(F201,Teams!$A:$B,2,FALSE)</f>
        <v>KC Gophers</v>
      </c>
      <c r="H201">
        <v>101.98</v>
      </c>
      <c r="I201" t="s">
        <v>13</v>
      </c>
    </row>
    <row r="202" spans="1:9" x14ac:dyDescent="0.45">
      <c r="A202">
        <v>2014</v>
      </c>
      <c r="B202">
        <v>9</v>
      </c>
      <c r="C202" t="s">
        <v>15</v>
      </c>
      <c r="D202" t="str">
        <f>VLOOKUP(C202,Teams!$A:$B,2,FALSE)</f>
        <v>Braintree Red Scare</v>
      </c>
      <c r="E202">
        <v>115.8</v>
      </c>
      <c r="F202" t="s">
        <v>10</v>
      </c>
      <c r="G202" t="str">
        <f>VLOOKUP(F202,Teams!$A:$B,2,FALSE)</f>
        <v>Team Foresight</v>
      </c>
      <c r="H202">
        <v>101.6</v>
      </c>
      <c r="I202" t="s">
        <v>15</v>
      </c>
    </row>
    <row r="203" spans="1:9" x14ac:dyDescent="0.45">
      <c r="A203">
        <v>2014</v>
      </c>
      <c r="B203">
        <v>13</v>
      </c>
      <c r="C203" t="s">
        <v>12</v>
      </c>
      <c r="D203" t="str">
        <f>VLOOKUP(C203,Teams!$A:$B,2,FALSE)</f>
        <v>Athens Ospreys</v>
      </c>
      <c r="E203">
        <v>72.2</v>
      </c>
      <c r="F203" t="s">
        <v>16</v>
      </c>
      <c r="G203" t="str">
        <f>VLOOKUP(F203,Teams!$A:$B,2,FALSE)</f>
        <v>Denver Donkeys</v>
      </c>
      <c r="H203">
        <v>101.5</v>
      </c>
      <c r="I203" t="s">
        <v>16</v>
      </c>
    </row>
    <row r="204" spans="1:9" x14ac:dyDescent="0.45">
      <c r="A204">
        <v>2014</v>
      </c>
      <c r="B204">
        <v>1</v>
      </c>
      <c r="C204" t="s">
        <v>15</v>
      </c>
      <c r="D204" t="str">
        <f>VLOOKUP(C204,Teams!$A:$B,2,FALSE)</f>
        <v>Braintree Red Scare</v>
      </c>
      <c r="E204">
        <v>75.8</v>
      </c>
      <c r="F204" t="s">
        <v>16</v>
      </c>
      <c r="G204" t="str">
        <f>VLOOKUP(F204,Teams!$A:$B,2,FALSE)</f>
        <v>Denver Donkeys</v>
      </c>
      <c r="H204">
        <v>101.4</v>
      </c>
      <c r="I204" t="s">
        <v>16</v>
      </c>
    </row>
    <row r="205" spans="1:9" x14ac:dyDescent="0.45">
      <c r="A205">
        <v>2016</v>
      </c>
      <c r="B205">
        <v>11</v>
      </c>
      <c r="C205" t="s">
        <v>11</v>
      </c>
      <c r="D205" t="str">
        <f>VLOOKUP(C205,Teams!$A:$B,2,FALSE)</f>
        <v>Pigskin on the Gridiron</v>
      </c>
      <c r="E205">
        <v>95.98</v>
      </c>
      <c r="F205" t="s">
        <v>14</v>
      </c>
      <c r="G205" t="str">
        <f>VLOOKUP(F205,Teams!$A:$B,2,FALSE)</f>
        <v>Georgia Peanuts</v>
      </c>
      <c r="H205">
        <v>100.74</v>
      </c>
      <c r="I205" t="s">
        <v>14</v>
      </c>
    </row>
    <row r="206" spans="1:9" x14ac:dyDescent="0.45">
      <c r="A206">
        <v>2016</v>
      </c>
      <c r="B206">
        <v>6</v>
      </c>
      <c r="C206" t="s">
        <v>11</v>
      </c>
      <c r="D206" t="str">
        <f>VLOOKUP(C206,Teams!$A:$B,2,FALSE)</f>
        <v>Pigskin on the Gridiron</v>
      </c>
      <c r="E206">
        <v>106.6</v>
      </c>
      <c r="F206" t="s">
        <v>17</v>
      </c>
      <c r="G206" t="str">
        <f>VLOOKUP(F206,Teams!$A:$B,2,FALSE)</f>
        <v>Turkey Monkeys</v>
      </c>
      <c r="H206">
        <v>100.62</v>
      </c>
      <c r="I206" t="s">
        <v>11</v>
      </c>
    </row>
    <row r="207" spans="1:9" x14ac:dyDescent="0.45">
      <c r="A207">
        <v>2017</v>
      </c>
      <c r="B207">
        <v>15</v>
      </c>
      <c r="C207" t="s">
        <v>18</v>
      </c>
      <c r="D207" t="str">
        <f>VLOOKUP(C207,Teams!$A:$B,2,FALSE)</f>
        <v>KC Gophers</v>
      </c>
      <c r="E207">
        <v>65.12</v>
      </c>
      <c r="F207" t="s">
        <v>15</v>
      </c>
      <c r="G207" t="str">
        <f>VLOOKUP(F207,Teams!$A:$B,2,FALSE)</f>
        <v>Braintree Red Scare</v>
      </c>
      <c r="H207">
        <v>100.4</v>
      </c>
      <c r="I207" t="s">
        <v>15</v>
      </c>
    </row>
    <row r="208" spans="1:9" x14ac:dyDescent="0.45">
      <c r="A208">
        <v>2014</v>
      </c>
      <c r="B208">
        <v>7</v>
      </c>
      <c r="C208" t="s">
        <v>13</v>
      </c>
      <c r="D208" t="str">
        <f>VLOOKUP(C208,Teams!$A:$B,2,FALSE)</f>
        <v>Team Clueless</v>
      </c>
      <c r="E208">
        <v>59</v>
      </c>
      <c r="F208" t="s">
        <v>10</v>
      </c>
      <c r="G208" t="str">
        <f>VLOOKUP(F208,Teams!$A:$B,2,FALSE)</f>
        <v>Team Foresight</v>
      </c>
      <c r="H208">
        <v>100.4</v>
      </c>
      <c r="I208" t="s">
        <v>10</v>
      </c>
    </row>
    <row r="209" spans="1:9" x14ac:dyDescent="0.45">
      <c r="A209">
        <v>2016</v>
      </c>
      <c r="B209">
        <v>12</v>
      </c>
      <c r="C209" t="s">
        <v>15</v>
      </c>
      <c r="D209" t="str">
        <f>VLOOKUP(C209,Teams!$A:$B,2,FALSE)</f>
        <v>Braintree Red Scare</v>
      </c>
      <c r="E209">
        <v>117.94</v>
      </c>
      <c r="F209" t="s">
        <v>14</v>
      </c>
      <c r="G209" t="str">
        <f>VLOOKUP(F209,Teams!$A:$B,2,FALSE)</f>
        <v>Georgia Peanuts</v>
      </c>
      <c r="H209">
        <v>100.34</v>
      </c>
      <c r="I209" t="s">
        <v>15</v>
      </c>
    </row>
    <row r="210" spans="1:9" x14ac:dyDescent="0.45">
      <c r="A210">
        <v>2016</v>
      </c>
      <c r="B210">
        <v>2</v>
      </c>
      <c r="C210" t="s">
        <v>8</v>
      </c>
      <c r="D210" t="str">
        <f>VLOOKUP(C210,Teams!$A:$B,2,FALSE)</f>
        <v>Belmont Trees</v>
      </c>
      <c r="E210">
        <v>83.46</v>
      </c>
      <c r="F210" t="s">
        <v>18</v>
      </c>
      <c r="G210" t="str">
        <f>VLOOKUP(F210,Teams!$A:$B,2,FALSE)</f>
        <v>KC Gophers</v>
      </c>
      <c r="H210">
        <v>100.32</v>
      </c>
      <c r="I210" t="s">
        <v>18</v>
      </c>
    </row>
    <row r="211" spans="1:9" x14ac:dyDescent="0.45">
      <c r="A211">
        <v>2014</v>
      </c>
      <c r="B211">
        <v>7</v>
      </c>
      <c r="C211" t="s">
        <v>16</v>
      </c>
      <c r="D211" t="str">
        <f>VLOOKUP(C211,Teams!$A:$B,2,FALSE)</f>
        <v>Denver Donkeys</v>
      </c>
      <c r="E211">
        <v>62.7</v>
      </c>
      <c r="F211" t="s">
        <v>12</v>
      </c>
      <c r="G211" t="str">
        <f>VLOOKUP(F211,Teams!$A:$B,2,FALSE)</f>
        <v>Athens Ospreys</v>
      </c>
      <c r="H211">
        <v>100.2</v>
      </c>
      <c r="I211" t="s">
        <v>12</v>
      </c>
    </row>
    <row r="212" spans="1:9" x14ac:dyDescent="0.45">
      <c r="A212">
        <v>2016</v>
      </c>
      <c r="B212">
        <v>2</v>
      </c>
      <c r="C212" t="s">
        <v>13</v>
      </c>
      <c r="D212" t="str">
        <f>VLOOKUP(C212,Teams!$A:$B,2,FALSE)</f>
        <v>Team Clueless</v>
      </c>
      <c r="E212">
        <v>116.66</v>
      </c>
      <c r="F212" t="s">
        <v>15</v>
      </c>
      <c r="G212" t="str">
        <f>VLOOKUP(F212,Teams!$A:$B,2,FALSE)</f>
        <v>Braintree Red Scare</v>
      </c>
      <c r="H212">
        <v>100.06</v>
      </c>
      <c r="I212" t="s">
        <v>13</v>
      </c>
    </row>
    <row r="213" spans="1:9" x14ac:dyDescent="0.45">
      <c r="A213">
        <v>2015</v>
      </c>
      <c r="B213">
        <v>3</v>
      </c>
      <c r="C213" t="s">
        <v>15</v>
      </c>
      <c r="D213" t="str">
        <f>VLOOKUP(C213,Teams!$A:$B,2,FALSE)</f>
        <v>Braintree Red Scare</v>
      </c>
      <c r="E213">
        <v>97.66</v>
      </c>
      <c r="F213" t="s">
        <v>10</v>
      </c>
      <c r="G213" t="str">
        <f>VLOOKUP(F213,Teams!$A:$B,2,FALSE)</f>
        <v>Team Foresight</v>
      </c>
      <c r="H213">
        <v>99.96</v>
      </c>
      <c r="I213" t="s">
        <v>10</v>
      </c>
    </row>
    <row r="214" spans="1:9" x14ac:dyDescent="0.45">
      <c r="A214">
        <v>2015</v>
      </c>
      <c r="B214">
        <v>2</v>
      </c>
      <c r="C214" t="s">
        <v>13</v>
      </c>
      <c r="D214" t="str">
        <f>VLOOKUP(C214,Teams!$A:$B,2,FALSE)</f>
        <v>Team Clueless</v>
      </c>
      <c r="E214">
        <v>93.1</v>
      </c>
      <c r="F214" t="s">
        <v>15</v>
      </c>
      <c r="G214" t="str">
        <f>VLOOKUP(F214,Teams!$A:$B,2,FALSE)</f>
        <v>Braintree Red Scare</v>
      </c>
      <c r="H214">
        <v>99.86</v>
      </c>
      <c r="I214" t="s">
        <v>15</v>
      </c>
    </row>
    <row r="215" spans="1:9" x14ac:dyDescent="0.45">
      <c r="A215">
        <v>2014</v>
      </c>
      <c r="B215">
        <v>5</v>
      </c>
      <c r="C215" t="s">
        <v>15</v>
      </c>
      <c r="D215" t="str">
        <f>VLOOKUP(C215,Teams!$A:$B,2,FALSE)</f>
        <v>Braintree Red Scare</v>
      </c>
      <c r="E215">
        <v>60.9</v>
      </c>
      <c r="F215" t="s">
        <v>14</v>
      </c>
      <c r="G215" t="str">
        <f>VLOOKUP(F215,Teams!$A:$B,2,FALSE)</f>
        <v>Georgia Peanuts</v>
      </c>
      <c r="H215">
        <v>99.6</v>
      </c>
      <c r="I215" t="s">
        <v>14</v>
      </c>
    </row>
    <row r="216" spans="1:9" x14ac:dyDescent="0.45">
      <c r="A216">
        <v>2018</v>
      </c>
      <c r="B216">
        <v>13</v>
      </c>
      <c r="C216" t="s">
        <v>15</v>
      </c>
      <c r="D216" t="str">
        <f>VLOOKUP(C216,Teams!$A:$B,2,FALSE)</f>
        <v>Braintree Red Scare</v>
      </c>
      <c r="E216">
        <v>143.5</v>
      </c>
      <c r="F216" t="s">
        <v>7</v>
      </c>
      <c r="G216" t="str">
        <f>VLOOKUP(F216,Teams!$A:$B,2,FALSE)</f>
        <v>Southern Sharks</v>
      </c>
      <c r="H216">
        <v>98.98</v>
      </c>
      <c r="I216" t="s">
        <v>15</v>
      </c>
    </row>
    <row r="217" spans="1:9" x14ac:dyDescent="0.45">
      <c r="A217">
        <v>2018</v>
      </c>
      <c r="B217">
        <v>9</v>
      </c>
      <c r="C217" t="s">
        <v>17</v>
      </c>
      <c r="D217" t="str">
        <f>VLOOKUP(C217,Teams!$A:$B,2,FALSE)</f>
        <v>Turkey Monkeys</v>
      </c>
      <c r="E217">
        <v>84.82</v>
      </c>
      <c r="F217" t="s">
        <v>8</v>
      </c>
      <c r="G217" t="str">
        <f>VLOOKUP(F217,Teams!$A:$B,2,FALSE)</f>
        <v>Belmont Trees</v>
      </c>
      <c r="H217">
        <v>98.96</v>
      </c>
      <c r="I217" t="s">
        <v>8</v>
      </c>
    </row>
    <row r="218" spans="1:9" x14ac:dyDescent="0.45">
      <c r="A218">
        <v>2018</v>
      </c>
      <c r="B218">
        <v>13</v>
      </c>
      <c r="C218" t="s">
        <v>13</v>
      </c>
      <c r="D218" t="str">
        <f>VLOOKUP(C218,Teams!$A:$B,2,FALSE)</f>
        <v>Team Clueless</v>
      </c>
      <c r="E218">
        <v>147.78</v>
      </c>
      <c r="F218" t="s">
        <v>17</v>
      </c>
      <c r="G218" t="str">
        <f>VLOOKUP(F218,Teams!$A:$B,2,FALSE)</f>
        <v>Turkey Monkeys</v>
      </c>
      <c r="H218">
        <v>98.94</v>
      </c>
      <c r="I218" t="s">
        <v>13</v>
      </c>
    </row>
    <row r="219" spans="1:9" x14ac:dyDescent="0.45">
      <c r="A219">
        <v>2015</v>
      </c>
      <c r="B219">
        <v>1</v>
      </c>
      <c r="C219" t="s">
        <v>17</v>
      </c>
      <c r="D219" t="str">
        <f>VLOOKUP(C219,Teams!$A:$B,2,FALSE)</f>
        <v>Turkey Monkeys</v>
      </c>
      <c r="E219">
        <v>99.76</v>
      </c>
      <c r="F219" t="s">
        <v>14</v>
      </c>
      <c r="G219" t="str">
        <f>VLOOKUP(F219,Teams!$A:$B,2,FALSE)</f>
        <v>Georgia Peanuts</v>
      </c>
      <c r="H219">
        <v>98.94</v>
      </c>
      <c r="I219" t="s">
        <v>17</v>
      </c>
    </row>
    <row r="220" spans="1:9" x14ac:dyDescent="0.45">
      <c r="A220">
        <v>2016</v>
      </c>
      <c r="B220">
        <v>4</v>
      </c>
      <c r="C220" t="s">
        <v>17</v>
      </c>
      <c r="D220" t="str">
        <f>VLOOKUP(C220,Teams!$A:$B,2,FALSE)</f>
        <v>Turkey Monkeys</v>
      </c>
      <c r="E220">
        <v>125.96</v>
      </c>
      <c r="F220" t="s">
        <v>13</v>
      </c>
      <c r="G220" t="str">
        <f>VLOOKUP(F220,Teams!$A:$B,2,FALSE)</f>
        <v>Team Clueless</v>
      </c>
      <c r="H220">
        <v>98.92</v>
      </c>
      <c r="I220" t="s">
        <v>17</v>
      </c>
    </row>
    <row r="221" spans="1:9" x14ac:dyDescent="0.45">
      <c r="A221">
        <v>2018</v>
      </c>
      <c r="B221">
        <v>10</v>
      </c>
      <c r="C221" t="s">
        <v>16</v>
      </c>
      <c r="D221" t="str">
        <f>VLOOKUP(C221,Teams!$A:$B,2,FALSE)</f>
        <v>Denver Donkeys</v>
      </c>
      <c r="E221">
        <v>67.34</v>
      </c>
      <c r="F221" t="s">
        <v>8</v>
      </c>
      <c r="G221" t="str">
        <f>VLOOKUP(F221,Teams!$A:$B,2,FALSE)</f>
        <v>Belmont Trees</v>
      </c>
      <c r="H221">
        <v>98.76</v>
      </c>
      <c r="I221" t="s">
        <v>8</v>
      </c>
    </row>
    <row r="222" spans="1:9" x14ac:dyDescent="0.45">
      <c r="A222">
        <v>2016</v>
      </c>
      <c r="B222">
        <v>1</v>
      </c>
      <c r="C222" t="s">
        <v>11</v>
      </c>
      <c r="D222" t="str">
        <f>VLOOKUP(C222,Teams!$A:$B,2,FALSE)</f>
        <v>Pigskin on the Gridiron</v>
      </c>
      <c r="E222">
        <v>131.1</v>
      </c>
      <c r="F222" t="s">
        <v>15</v>
      </c>
      <c r="G222" t="str">
        <f>VLOOKUP(F222,Teams!$A:$B,2,FALSE)</f>
        <v>Braintree Red Scare</v>
      </c>
      <c r="H222">
        <v>98.3</v>
      </c>
      <c r="I222" t="s">
        <v>11</v>
      </c>
    </row>
    <row r="223" spans="1:9" x14ac:dyDescent="0.45">
      <c r="A223">
        <v>2016</v>
      </c>
      <c r="B223">
        <v>10</v>
      </c>
      <c r="C223" t="s">
        <v>13</v>
      </c>
      <c r="D223" t="str">
        <f>VLOOKUP(C223,Teams!$A:$B,2,FALSE)</f>
        <v>Team Clueless</v>
      </c>
      <c r="E223">
        <v>111.64</v>
      </c>
      <c r="F223" t="s">
        <v>18</v>
      </c>
      <c r="G223" t="str">
        <f>VLOOKUP(F223,Teams!$A:$B,2,FALSE)</f>
        <v>KC Gophers</v>
      </c>
      <c r="H223">
        <v>98.24</v>
      </c>
      <c r="I223" t="s">
        <v>13</v>
      </c>
    </row>
    <row r="224" spans="1:9" x14ac:dyDescent="0.45">
      <c r="A224">
        <v>2017</v>
      </c>
      <c r="B224">
        <v>12</v>
      </c>
      <c r="C224" t="s">
        <v>18</v>
      </c>
      <c r="D224" t="str">
        <f>VLOOKUP(C224,Teams!$A:$B,2,FALSE)</f>
        <v>KC Gophers</v>
      </c>
      <c r="E224">
        <v>125.88</v>
      </c>
      <c r="F224" t="s">
        <v>17</v>
      </c>
      <c r="G224" t="str">
        <f>VLOOKUP(F224,Teams!$A:$B,2,FALSE)</f>
        <v>Turkey Monkeys</v>
      </c>
      <c r="H224">
        <v>98.14</v>
      </c>
      <c r="I224" t="s">
        <v>18</v>
      </c>
    </row>
    <row r="225" spans="1:9" x14ac:dyDescent="0.45">
      <c r="A225">
        <v>2015</v>
      </c>
      <c r="B225">
        <v>13</v>
      </c>
      <c r="C225" t="s">
        <v>13</v>
      </c>
      <c r="D225" t="str">
        <f>VLOOKUP(C225,Teams!$A:$B,2,FALSE)</f>
        <v>Team Clueless</v>
      </c>
      <c r="E225">
        <v>93.62</v>
      </c>
      <c r="F225" t="s">
        <v>17</v>
      </c>
      <c r="G225" t="str">
        <f>VLOOKUP(F225,Teams!$A:$B,2,FALSE)</f>
        <v>Turkey Monkeys</v>
      </c>
      <c r="H225">
        <v>97.52</v>
      </c>
      <c r="I225" t="s">
        <v>17</v>
      </c>
    </row>
    <row r="226" spans="1:9" x14ac:dyDescent="0.45">
      <c r="A226">
        <v>2018</v>
      </c>
      <c r="B226">
        <v>5</v>
      </c>
      <c r="C226" t="s">
        <v>16</v>
      </c>
      <c r="D226" t="str">
        <f>VLOOKUP(C226,Teams!$A:$B,2,FALSE)</f>
        <v>Denver Donkeys</v>
      </c>
      <c r="E226">
        <v>102.28</v>
      </c>
      <c r="F226" t="s">
        <v>13</v>
      </c>
      <c r="G226" t="str">
        <f>VLOOKUP(F226,Teams!$A:$B,2,FALSE)</f>
        <v>Team Clueless</v>
      </c>
      <c r="H226">
        <v>97.5</v>
      </c>
      <c r="I226" t="s">
        <v>16</v>
      </c>
    </row>
    <row r="227" spans="1:9" x14ac:dyDescent="0.45">
      <c r="A227">
        <v>2016</v>
      </c>
      <c r="B227">
        <v>6</v>
      </c>
      <c r="C227" t="s">
        <v>7</v>
      </c>
      <c r="D227" t="str">
        <f>VLOOKUP(C227,Teams!$A:$B,2,FALSE)</f>
        <v>Southern Sharks</v>
      </c>
      <c r="E227">
        <v>120.22</v>
      </c>
      <c r="F227" t="s">
        <v>8</v>
      </c>
      <c r="G227" t="str">
        <f>VLOOKUP(F227,Teams!$A:$B,2,FALSE)</f>
        <v>Belmont Trees</v>
      </c>
      <c r="H227">
        <v>97.42</v>
      </c>
      <c r="I227" t="s">
        <v>7</v>
      </c>
    </row>
    <row r="228" spans="1:9" x14ac:dyDescent="0.45">
      <c r="A228">
        <v>2015</v>
      </c>
      <c r="B228">
        <v>1</v>
      </c>
      <c r="C228" t="s">
        <v>18</v>
      </c>
      <c r="D228" t="str">
        <f>VLOOKUP(C228,Teams!$A:$B,2,FALSE)</f>
        <v>KC Gophers</v>
      </c>
      <c r="E228">
        <v>136.72</v>
      </c>
      <c r="F228" t="s">
        <v>13</v>
      </c>
      <c r="G228" t="str">
        <f>VLOOKUP(F228,Teams!$A:$B,2,FALSE)</f>
        <v>Team Clueless</v>
      </c>
      <c r="H228">
        <v>97.12</v>
      </c>
      <c r="I228" t="s">
        <v>18</v>
      </c>
    </row>
    <row r="229" spans="1:9" x14ac:dyDescent="0.45">
      <c r="A229">
        <v>2017</v>
      </c>
      <c r="B229">
        <v>16</v>
      </c>
      <c r="C229" t="s">
        <v>13</v>
      </c>
      <c r="D229" t="str">
        <f>VLOOKUP(C229,Teams!$A:$B,2,FALSE)</f>
        <v>Team Clueless</v>
      </c>
      <c r="E229">
        <v>98.76</v>
      </c>
      <c r="F229" t="s">
        <v>11</v>
      </c>
      <c r="G229" t="str">
        <f>VLOOKUP(F229,Teams!$A:$B,2,FALSE)</f>
        <v>Pigskin on the Gridiron</v>
      </c>
      <c r="H229">
        <v>96.94</v>
      </c>
      <c r="I229" t="s">
        <v>13</v>
      </c>
    </row>
    <row r="230" spans="1:9" x14ac:dyDescent="0.45">
      <c r="A230">
        <v>2016</v>
      </c>
      <c r="B230">
        <v>7</v>
      </c>
      <c r="C230" t="s">
        <v>16</v>
      </c>
      <c r="D230" t="str">
        <f>VLOOKUP(C230,Teams!$A:$B,2,FALSE)</f>
        <v>Denver Donkeys</v>
      </c>
      <c r="E230">
        <v>105.98</v>
      </c>
      <c r="F230" t="s">
        <v>14</v>
      </c>
      <c r="G230" t="str">
        <f>VLOOKUP(F230,Teams!$A:$B,2,FALSE)</f>
        <v>Georgia Peanuts</v>
      </c>
      <c r="H230">
        <v>96.86</v>
      </c>
      <c r="I230" t="s">
        <v>16</v>
      </c>
    </row>
    <row r="231" spans="1:9" x14ac:dyDescent="0.45">
      <c r="A231">
        <v>2017</v>
      </c>
      <c r="B231">
        <v>11</v>
      </c>
      <c r="C231" t="s">
        <v>11</v>
      </c>
      <c r="D231" t="str">
        <f>VLOOKUP(C231,Teams!$A:$B,2,FALSE)</f>
        <v>Pigskin on the Gridiron</v>
      </c>
      <c r="E231">
        <v>129.82</v>
      </c>
      <c r="F231" t="s">
        <v>14</v>
      </c>
      <c r="G231" t="str">
        <f>VLOOKUP(F231,Teams!$A:$B,2,FALSE)</f>
        <v>Georgia Peanuts</v>
      </c>
      <c r="H231">
        <v>96.68</v>
      </c>
      <c r="I231" t="s">
        <v>11</v>
      </c>
    </row>
    <row r="232" spans="1:9" x14ac:dyDescent="0.45">
      <c r="A232">
        <v>2015</v>
      </c>
      <c r="B232">
        <v>4</v>
      </c>
      <c r="C232" t="s">
        <v>14</v>
      </c>
      <c r="D232" t="str">
        <f>VLOOKUP(C232,Teams!$A:$B,2,FALSE)</f>
        <v>Georgia Peanuts</v>
      </c>
      <c r="E232">
        <v>98.48</v>
      </c>
      <c r="F232" t="s">
        <v>15</v>
      </c>
      <c r="G232" t="str">
        <f>VLOOKUP(F232,Teams!$A:$B,2,FALSE)</f>
        <v>Braintree Red Scare</v>
      </c>
      <c r="H232">
        <v>96.52</v>
      </c>
      <c r="I232" t="s">
        <v>14</v>
      </c>
    </row>
    <row r="233" spans="1:9" x14ac:dyDescent="0.45">
      <c r="A233">
        <v>2017</v>
      </c>
      <c r="B233">
        <v>3</v>
      </c>
      <c r="C233" t="s">
        <v>16</v>
      </c>
      <c r="D233" t="str">
        <f>VLOOKUP(C233,Teams!$A:$B,2,FALSE)</f>
        <v>Denver Donkeys</v>
      </c>
      <c r="E233">
        <v>116.62</v>
      </c>
      <c r="F233" t="s">
        <v>7</v>
      </c>
      <c r="G233" t="str">
        <f>VLOOKUP(F233,Teams!$A:$B,2,FALSE)</f>
        <v>Southern Sharks</v>
      </c>
      <c r="H233">
        <v>96.36</v>
      </c>
      <c r="I233" t="s">
        <v>16</v>
      </c>
    </row>
    <row r="234" spans="1:9" x14ac:dyDescent="0.45">
      <c r="A234">
        <v>2016</v>
      </c>
      <c r="B234">
        <v>3</v>
      </c>
      <c r="C234" t="s">
        <v>14</v>
      </c>
      <c r="D234" t="str">
        <f>VLOOKUP(C234,Teams!$A:$B,2,FALSE)</f>
        <v>Georgia Peanuts</v>
      </c>
      <c r="E234">
        <v>126.38</v>
      </c>
      <c r="F234" t="s">
        <v>11</v>
      </c>
      <c r="G234" t="str">
        <f>VLOOKUP(F234,Teams!$A:$B,2,FALSE)</f>
        <v>Pigskin on the Gridiron</v>
      </c>
      <c r="H234">
        <v>95.94</v>
      </c>
      <c r="I234" t="s">
        <v>14</v>
      </c>
    </row>
    <row r="235" spans="1:9" x14ac:dyDescent="0.45">
      <c r="A235">
        <v>2016</v>
      </c>
      <c r="B235">
        <v>6</v>
      </c>
      <c r="C235" t="s">
        <v>10</v>
      </c>
      <c r="D235" t="str">
        <f>VLOOKUP(C235,Teams!$A:$B,2,FALSE)</f>
        <v>Team Foresight</v>
      </c>
      <c r="E235">
        <v>117.7</v>
      </c>
      <c r="F235" t="s">
        <v>18</v>
      </c>
      <c r="G235" t="str">
        <f>VLOOKUP(F235,Teams!$A:$B,2,FALSE)</f>
        <v>KC Gophers</v>
      </c>
      <c r="H235">
        <v>95.86</v>
      </c>
      <c r="I235" t="s">
        <v>10</v>
      </c>
    </row>
    <row r="236" spans="1:9" x14ac:dyDescent="0.45">
      <c r="A236">
        <v>2018</v>
      </c>
      <c r="B236">
        <v>9</v>
      </c>
      <c r="C236" t="s">
        <v>13</v>
      </c>
      <c r="D236" t="str">
        <f>VLOOKUP(C236,Teams!$A:$B,2,FALSE)</f>
        <v>Team Clueless</v>
      </c>
      <c r="E236">
        <v>157.19999999999999</v>
      </c>
      <c r="F236" t="s">
        <v>16</v>
      </c>
      <c r="G236" t="str">
        <f>VLOOKUP(F236,Teams!$A:$B,2,FALSE)</f>
        <v>Denver Donkeys</v>
      </c>
      <c r="H236">
        <v>95.68</v>
      </c>
      <c r="I236" t="s">
        <v>13</v>
      </c>
    </row>
    <row r="237" spans="1:9" x14ac:dyDescent="0.45">
      <c r="A237">
        <v>2017</v>
      </c>
      <c r="B237">
        <v>15</v>
      </c>
      <c r="C237" t="s">
        <v>17</v>
      </c>
      <c r="D237" t="str">
        <f>VLOOKUP(C237,Teams!$A:$B,2,FALSE)</f>
        <v>Turkey Monkeys</v>
      </c>
      <c r="E237">
        <v>94.54</v>
      </c>
      <c r="F237" t="s">
        <v>8</v>
      </c>
      <c r="G237" t="str">
        <f>VLOOKUP(F237,Teams!$A:$B,2,FALSE)</f>
        <v>Belmont Trees</v>
      </c>
      <c r="H237">
        <v>95.64</v>
      </c>
      <c r="I237" t="s">
        <v>8</v>
      </c>
    </row>
    <row r="238" spans="1:9" x14ac:dyDescent="0.45">
      <c r="A238">
        <v>2016</v>
      </c>
      <c r="B238">
        <v>10</v>
      </c>
      <c r="C238" t="s">
        <v>17</v>
      </c>
      <c r="D238" t="str">
        <f>VLOOKUP(C238,Teams!$A:$B,2,FALSE)</f>
        <v>Turkey Monkeys</v>
      </c>
      <c r="E238">
        <v>163.92</v>
      </c>
      <c r="F238" t="s">
        <v>15</v>
      </c>
      <c r="G238" t="str">
        <f>VLOOKUP(F238,Teams!$A:$B,2,FALSE)</f>
        <v>Braintree Red Scare</v>
      </c>
      <c r="H238">
        <v>95.52</v>
      </c>
      <c r="I238" t="s">
        <v>17</v>
      </c>
    </row>
    <row r="239" spans="1:9" x14ac:dyDescent="0.45">
      <c r="A239">
        <v>2016</v>
      </c>
      <c r="B239">
        <v>1</v>
      </c>
      <c r="C239" t="s">
        <v>17</v>
      </c>
      <c r="D239" t="str">
        <f>VLOOKUP(C239,Teams!$A:$B,2,FALSE)</f>
        <v>Turkey Monkeys</v>
      </c>
      <c r="E239">
        <v>141.68</v>
      </c>
      <c r="F239" t="s">
        <v>14</v>
      </c>
      <c r="G239" t="str">
        <f>VLOOKUP(F239,Teams!$A:$B,2,FALSE)</f>
        <v>Georgia Peanuts</v>
      </c>
      <c r="H239">
        <v>95.48</v>
      </c>
      <c r="I239" t="s">
        <v>17</v>
      </c>
    </row>
    <row r="240" spans="1:9" x14ac:dyDescent="0.45">
      <c r="A240">
        <v>2017</v>
      </c>
      <c r="B240">
        <v>11</v>
      </c>
      <c r="C240" t="s">
        <v>13</v>
      </c>
      <c r="D240" t="str">
        <f>VLOOKUP(C240,Teams!$A:$B,2,FALSE)</f>
        <v>Team Clueless</v>
      </c>
      <c r="E240">
        <v>149.91999999999999</v>
      </c>
      <c r="F240" t="s">
        <v>7</v>
      </c>
      <c r="G240" t="str">
        <f>VLOOKUP(F240,Teams!$A:$B,2,FALSE)</f>
        <v>Southern Sharks</v>
      </c>
      <c r="H240">
        <v>95.3</v>
      </c>
      <c r="I240" t="s">
        <v>13</v>
      </c>
    </row>
    <row r="241" spans="1:9" x14ac:dyDescent="0.45">
      <c r="A241">
        <v>2018</v>
      </c>
      <c r="B241">
        <v>7</v>
      </c>
      <c r="C241" t="s">
        <v>13</v>
      </c>
      <c r="D241" t="str">
        <f>VLOOKUP(C241,Teams!$A:$B,2,FALSE)</f>
        <v>Team Clueless</v>
      </c>
      <c r="E241">
        <v>115.14</v>
      </c>
      <c r="F241" t="s">
        <v>11</v>
      </c>
      <c r="G241" t="str">
        <f>VLOOKUP(F241,Teams!$A:$B,2,FALSE)</f>
        <v>Pigskin on the Gridiron</v>
      </c>
      <c r="H241">
        <v>95.26</v>
      </c>
      <c r="I241" t="s">
        <v>13</v>
      </c>
    </row>
    <row r="242" spans="1:9" x14ac:dyDescent="0.45">
      <c r="A242">
        <v>2017</v>
      </c>
      <c r="B242">
        <v>5</v>
      </c>
      <c r="C242" t="s">
        <v>16</v>
      </c>
      <c r="D242" t="str">
        <f>VLOOKUP(C242,Teams!$A:$B,2,FALSE)</f>
        <v>Denver Donkeys</v>
      </c>
      <c r="E242">
        <v>117.24</v>
      </c>
      <c r="F242" t="s">
        <v>13</v>
      </c>
      <c r="G242" t="str">
        <f>VLOOKUP(F242,Teams!$A:$B,2,FALSE)</f>
        <v>Team Clueless</v>
      </c>
      <c r="H242">
        <v>95.18</v>
      </c>
      <c r="I242" t="s">
        <v>16</v>
      </c>
    </row>
    <row r="243" spans="1:9" x14ac:dyDescent="0.45">
      <c r="A243">
        <v>2018</v>
      </c>
      <c r="B243">
        <v>11</v>
      </c>
      <c r="C243" t="s">
        <v>18</v>
      </c>
      <c r="D243" t="str">
        <f>VLOOKUP(C243,Teams!$A:$B,2,FALSE)</f>
        <v>KC Gophers</v>
      </c>
      <c r="E243">
        <v>98.18</v>
      </c>
      <c r="F243" t="s">
        <v>8</v>
      </c>
      <c r="G243" t="str">
        <f>VLOOKUP(F243,Teams!$A:$B,2,FALSE)</f>
        <v>Belmont Trees</v>
      </c>
      <c r="H243">
        <v>95.18</v>
      </c>
      <c r="I243" t="s">
        <v>18</v>
      </c>
    </row>
    <row r="244" spans="1:9" x14ac:dyDescent="0.45">
      <c r="A244">
        <v>2016</v>
      </c>
      <c r="B244">
        <v>12</v>
      </c>
      <c r="C244" t="s">
        <v>7</v>
      </c>
      <c r="D244" t="str">
        <f>VLOOKUP(C244,Teams!$A:$B,2,FALSE)</f>
        <v>Southern Sharks</v>
      </c>
      <c r="E244">
        <v>144.88</v>
      </c>
      <c r="F244" t="s">
        <v>11</v>
      </c>
      <c r="G244" t="str">
        <f>VLOOKUP(F244,Teams!$A:$B,2,FALSE)</f>
        <v>Pigskin on the Gridiron</v>
      </c>
      <c r="H244">
        <v>95.1</v>
      </c>
      <c r="I244" t="s">
        <v>7</v>
      </c>
    </row>
    <row r="245" spans="1:9" x14ac:dyDescent="0.45">
      <c r="A245">
        <v>2018</v>
      </c>
      <c r="B245">
        <v>4</v>
      </c>
      <c r="C245" t="s">
        <v>11</v>
      </c>
      <c r="D245" t="str">
        <f>VLOOKUP(C245,Teams!$A:$B,2,FALSE)</f>
        <v>Pigskin on the Gridiron</v>
      </c>
      <c r="E245">
        <v>148.28</v>
      </c>
      <c r="F245" t="s">
        <v>7</v>
      </c>
      <c r="G245" t="str">
        <f>VLOOKUP(F245,Teams!$A:$B,2,FALSE)</f>
        <v>Southern Sharks</v>
      </c>
      <c r="H245">
        <v>95.06</v>
      </c>
      <c r="I245" t="s">
        <v>11</v>
      </c>
    </row>
    <row r="246" spans="1:9" x14ac:dyDescent="0.45">
      <c r="A246">
        <v>2015</v>
      </c>
      <c r="B246">
        <v>8</v>
      </c>
      <c r="C246" t="s">
        <v>10</v>
      </c>
      <c r="D246" t="str">
        <f>VLOOKUP(C246,Teams!$A:$B,2,FALSE)</f>
        <v>Team Foresight</v>
      </c>
      <c r="E246">
        <v>116.28</v>
      </c>
      <c r="F246" t="s">
        <v>13</v>
      </c>
      <c r="G246" t="str">
        <f>VLOOKUP(F246,Teams!$A:$B,2,FALSE)</f>
        <v>Team Clueless</v>
      </c>
      <c r="H246">
        <v>95.04</v>
      </c>
      <c r="I246" t="s">
        <v>10</v>
      </c>
    </row>
    <row r="247" spans="1:9" x14ac:dyDescent="0.45">
      <c r="A247">
        <v>2014</v>
      </c>
      <c r="B247">
        <v>13</v>
      </c>
      <c r="C247" t="s">
        <v>7</v>
      </c>
      <c r="D247" t="str">
        <f>VLOOKUP(C247,Teams!$A:$B,2,FALSE)</f>
        <v>Southern Sharks</v>
      </c>
      <c r="E247">
        <v>104.4</v>
      </c>
      <c r="F247" t="s">
        <v>14</v>
      </c>
      <c r="G247" t="str">
        <f>VLOOKUP(F247,Teams!$A:$B,2,FALSE)</f>
        <v>Georgia Peanuts</v>
      </c>
      <c r="H247">
        <v>94.7</v>
      </c>
      <c r="I247" t="s">
        <v>7</v>
      </c>
    </row>
    <row r="248" spans="1:9" x14ac:dyDescent="0.45">
      <c r="A248">
        <v>2016</v>
      </c>
      <c r="B248">
        <v>11</v>
      </c>
      <c r="C248" t="s">
        <v>17</v>
      </c>
      <c r="D248" t="str">
        <f>VLOOKUP(C248,Teams!$A:$B,2,FALSE)</f>
        <v>Turkey Monkeys</v>
      </c>
      <c r="E248">
        <v>96.28</v>
      </c>
      <c r="F248" t="s">
        <v>16</v>
      </c>
      <c r="G248" t="str">
        <f>VLOOKUP(F248,Teams!$A:$B,2,FALSE)</f>
        <v>Denver Donkeys</v>
      </c>
      <c r="H248">
        <v>94.6</v>
      </c>
      <c r="I248" t="s">
        <v>17</v>
      </c>
    </row>
    <row r="249" spans="1:9" x14ac:dyDescent="0.45">
      <c r="A249">
        <v>2017</v>
      </c>
      <c r="B249">
        <v>6</v>
      </c>
      <c r="C249" t="s">
        <v>11</v>
      </c>
      <c r="D249" t="str">
        <f>VLOOKUP(C249,Teams!$A:$B,2,FALSE)</f>
        <v>Pigskin on the Gridiron</v>
      </c>
      <c r="E249">
        <v>82.02</v>
      </c>
      <c r="F249" t="s">
        <v>17</v>
      </c>
      <c r="G249" t="str">
        <f>VLOOKUP(F249,Teams!$A:$B,2,FALSE)</f>
        <v>Turkey Monkeys</v>
      </c>
      <c r="H249">
        <v>94.54</v>
      </c>
      <c r="I249" t="s">
        <v>17</v>
      </c>
    </row>
    <row r="250" spans="1:9" x14ac:dyDescent="0.45">
      <c r="A250">
        <v>2018</v>
      </c>
      <c r="B250">
        <v>6</v>
      </c>
      <c r="C250" t="s">
        <v>14</v>
      </c>
      <c r="D250" t="str">
        <f>VLOOKUP(C250,Teams!$A:$B,2,FALSE)</f>
        <v>Georgia Peanuts</v>
      </c>
      <c r="E250">
        <v>112.38</v>
      </c>
      <c r="F250" t="s">
        <v>13</v>
      </c>
      <c r="G250" t="str">
        <f>VLOOKUP(F250,Teams!$A:$B,2,FALSE)</f>
        <v>Team Clueless</v>
      </c>
      <c r="H250">
        <v>94.5</v>
      </c>
      <c r="I250" t="s">
        <v>14</v>
      </c>
    </row>
    <row r="251" spans="1:9" x14ac:dyDescent="0.45">
      <c r="A251">
        <v>2018</v>
      </c>
      <c r="B251">
        <v>16</v>
      </c>
      <c r="C251" t="s">
        <v>15</v>
      </c>
      <c r="D251" t="str">
        <f>VLOOKUP(C251,Teams!$A:$B,2,FALSE)</f>
        <v>Braintree Red Scare</v>
      </c>
      <c r="E251">
        <v>155.54</v>
      </c>
      <c r="F251" t="s">
        <v>10</v>
      </c>
      <c r="G251" t="str">
        <f>VLOOKUP(F251,Teams!$A:$B,2,FALSE)</f>
        <v>Team Foresight</v>
      </c>
      <c r="H251">
        <v>94.46</v>
      </c>
      <c r="I251" t="s">
        <v>15</v>
      </c>
    </row>
    <row r="252" spans="1:9" x14ac:dyDescent="0.45">
      <c r="A252">
        <v>2018</v>
      </c>
      <c r="B252">
        <v>12</v>
      </c>
      <c r="C252" t="s">
        <v>16</v>
      </c>
      <c r="D252" t="str">
        <f>VLOOKUP(C252,Teams!$A:$B,2,FALSE)</f>
        <v>Denver Donkeys</v>
      </c>
      <c r="E252">
        <v>105.34</v>
      </c>
      <c r="F252" t="s">
        <v>10</v>
      </c>
      <c r="G252" t="str">
        <f>VLOOKUP(F252,Teams!$A:$B,2,FALSE)</f>
        <v>Team Foresight</v>
      </c>
      <c r="H252">
        <v>94.38</v>
      </c>
      <c r="I252" t="s">
        <v>16</v>
      </c>
    </row>
    <row r="253" spans="1:9" x14ac:dyDescent="0.45">
      <c r="A253">
        <v>2015</v>
      </c>
      <c r="B253">
        <v>4</v>
      </c>
      <c r="C253" t="s">
        <v>18</v>
      </c>
      <c r="D253" t="str">
        <f>VLOOKUP(C253,Teams!$A:$B,2,FALSE)</f>
        <v>KC Gophers</v>
      </c>
      <c r="E253">
        <v>81.02</v>
      </c>
      <c r="F253" t="s">
        <v>16</v>
      </c>
      <c r="G253" t="str">
        <f>VLOOKUP(F253,Teams!$A:$B,2,FALSE)</f>
        <v>Denver Donkeys</v>
      </c>
      <c r="H253">
        <v>94.28</v>
      </c>
      <c r="I253" t="s">
        <v>16</v>
      </c>
    </row>
    <row r="254" spans="1:9" x14ac:dyDescent="0.45">
      <c r="A254">
        <v>2015</v>
      </c>
      <c r="B254">
        <v>15</v>
      </c>
      <c r="C254" t="s">
        <v>18</v>
      </c>
      <c r="D254" t="str">
        <f>VLOOKUP(C254,Teams!$A:$B,2,FALSE)</f>
        <v>KC Gophers</v>
      </c>
      <c r="E254">
        <v>125.28</v>
      </c>
      <c r="F254" t="s">
        <v>14</v>
      </c>
      <c r="G254" t="str">
        <f>VLOOKUP(F254,Teams!$A:$B,2,FALSE)</f>
        <v>Georgia Peanuts</v>
      </c>
      <c r="H254">
        <v>94.1</v>
      </c>
      <c r="I254" t="s">
        <v>18</v>
      </c>
    </row>
    <row r="255" spans="1:9" x14ac:dyDescent="0.45">
      <c r="A255">
        <v>2014</v>
      </c>
      <c r="B255">
        <v>8</v>
      </c>
      <c r="C255" t="s">
        <v>12</v>
      </c>
      <c r="D255" t="str">
        <f>VLOOKUP(C255,Teams!$A:$B,2,FALSE)</f>
        <v>Athens Ospreys</v>
      </c>
      <c r="E255">
        <v>98.6</v>
      </c>
      <c r="F255" t="s">
        <v>13</v>
      </c>
      <c r="G255" t="str">
        <f>VLOOKUP(F255,Teams!$A:$B,2,FALSE)</f>
        <v>Team Clueless</v>
      </c>
      <c r="H255">
        <v>94</v>
      </c>
      <c r="I255" t="s">
        <v>12</v>
      </c>
    </row>
    <row r="256" spans="1:9" x14ac:dyDescent="0.45">
      <c r="A256">
        <v>2017</v>
      </c>
      <c r="B256">
        <v>12</v>
      </c>
      <c r="C256" t="s">
        <v>7</v>
      </c>
      <c r="D256" t="str">
        <f>VLOOKUP(C256,Teams!$A:$B,2,FALSE)</f>
        <v>Southern Sharks</v>
      </c>
      <c r="E256">
        <v>93.58</v>
      </c>
      <c r="F256" t="s">
        <v>11</v>
      </c>
      <c r="G256" t="str">
        <f>VLOOKUP(F256,Teams!$A:$B,2,FALSE)</f>
        <v>Pigskin on the Gridiron</v>
      </c>
      <c r="H256">
        <v>93.82</v>
      </c>
      <c r="I256" t="s">
        <v>11</v>
      </c>
    </row>
    <row r="257" spans="1:9" x14ac:dyDescent="0.45">
      <c r="A257">
        <v>2015</v>
      </c>
      <c r="B257">
        <v>8</v>
      </c>
      <c r="C257" t="s">
        <v>15</v>
      </c>
      <c r="D257" t="str">
        <f>VLOOKUP(C257,Teams!$A:$B,2,FALSE)</f>
        <v>Braintree Red Scare</v>
      </c>
      <c r="E257">
        <v>79.760000000000005</v>
      </c>
      <c r="F257" t="s">
        <v>18</v>
      </c>
      <c r="G257" t="str">
        <f>VLOOKUP(F257,Teams!$A:$B,2,FALSE)</f>
        <v>KC Gophers</v>
      </c>
      <c r="H257">
        <v>93.7</v>
      </c>
      <c r="I257" t="s">
        <v>18</v>
      </c>
    </row>
    <row r="258" spans="1:9" x14ac:dyDescent="0.45">
      <c r="A258">
        <v>2017</v>
      </c>
      <c r="B258">
        <v>11</v>
      </c>
      <c r="C258" t="s">
        <v>10</v>
      </c>
      <c r="D258" t="str">
        <f>VLOOKUP(C258,Teams!$A:$B,2,FALSE)</f>
        <v>Team Foresight</v>
      </c>
      <c r="E258">
        <v>120.4</v>
      </c>
      <c r="F258" t="s">
        <v>15</v>
      </c>
      <c r="G258" t="str">
        <f>VLOOKUP(F258,Teams!$A:$B,2,FALSE)</f>
        <v>Braintree Red Scare</v>
      </c>
      <c r="H258">
        <v>93.52</v>
      </c>
      <c r="I258" t="s">
        <v>10</v>
      </c>
    </row>
    <row r="259" spans="1:9" x14ac:dyDescent="0.45">
      <c r="A259">
        <v>2015</v>
      </c>
      <c r="B259">
        <v>14</v>
      </c>
      <c r="C259" t="s">
        <v>15</v>
      </c>
      <c r="D259" t="str">
        <f>VLOOKUP(C259,Teams!$A:$B,2,FALSE)</f>
        <v>Braintree Red Scare</v>
      </c>
      <c r="E259">
        <v>138.88</v>
      </c>
      <c r="F259" t="s">
        <v>13</v>
      </c>
      <c r="G259" t="str">
        <f>VLOOKUP(F259,Teams!$A:$B,2,FALSE)</f>
        <v>Team Clueless</v>
      </c>
      <c r="H259">
        <v>93.26</v>
      </c>
      <c r="I259" t="s">
        <v>15</v>
      </c>
    </row>
    <row r="260" spans="1:9" x14ac:dyDescent="0.45">
      <c r="A260">
        <v>2017</v>
      </c>
      <c r="B260">
        <v>14</v>
      </c>
      <c r="C260" t="s">
        <v>10</v>
      </c>
      <c r="D260" t="str">
        <f>VLOOKUP(C260,Teams!$A:$B,2,FALSE)</f>
        <v>Team Foresight</v>
      </c>
      <c r="E260">
        <v>105.22</v>
      </c>
      <c r="F260" t="s">
        <v>8</v>
      </c>
      <c r="G260" t="str">
        <f>VLOOKUP(F260,Teams!$A:$B,2,FALSE)</f>
        <v>Belmont Trees</v>
      </c>
      <c r="H260">
        <v>93.22</v>
      </c>
      <c r="I260" t="s">
        <v>10</v>
      </c>
    </row>
    <row r="261" spans="1:9" x14ac:dyDescent="0.45">
      <c r="A261">
        <v>2014</v>
      </c>
      <c r="B261">
        <v>1</v>
      </c>
      <c r="C261" t="s">
        <v>13</v>
      </c>
      <c r="D261" t="str">
        <f>VLOOKUP(C261,Teams!$A:$B,2,FALSE)</f>
        <v>Team Clueless</v>
      </c>
      <c r="E261">
        <v>78.8</v>
      </c>
      <c r="F261" t="s">
        <v>14</v>
      </c>
      <c r="G261" t="str">
        <f>VLOOKUP(F261,Teams!$A:$B,2,FALSE)</f>
        <v>Georgia Peanuts</v>
      </c>
      <c r="H261">
        <v>93.1</v>
      </c>
      <c r="I261" t="s">
        <v>14</v>
      </c>
    </row>
    <row r="262" spans="1:9" x14ac:dyDescent="0.45">
      <c r="A262">
        <v>2014</v>
      </c>
      <c r="B262">
        <v>8</v>
      </c>
      <c r="C262" t="s">
        <v>10</v>
      </c>
      <c r="D262" t="str">
        <f>VLOOKUP(C262,Teams!$A:$B,2,FALSE)</f>
        <v>Team Foresight</v>
      </c>
      <c r="E262">
        <v>130.5</v>
      </c>
      <c r="F262" t="s">
        <v>14</v>
      </c>
      <c r="G262" t="str">
        <f>VLOOKUP(F262,Teams!$A:$B,2,FALSE)</f>
        <v>Georgia Peanuts</v>
      </c>
      <c r="H262">
        <v>92.5</v>
      </c>
      <c r="I262" t="s">
        <v>10</v>
      </c>
    </row>
    <row r="263" spans="1:9" x14ac:dyDescent="0.45">
      <c r="A263">
        <v>2015</v>
      </c>
      <c r="B263">
        <v>10</v>
      </c>
      <c r="C263" t="s">
        <v>17</v>
      </c>
      <c r="D263" t="str">
        <f>VLOOKUP(C263,Teams!$A:$B,2,FALSE)</f>
        <v>Turkey Monkeys</v>
      </c>
      <c r="E263">
        <v>143.82</v>
      </c>
      <c r="F263" t="s">
        <v>15</v>
      </c>
      <c r="G263" t="str">
        <f>VLOOKUP(F263,Teams!$A:$B,2,FALSE)</f>
        <v>Braintree Red Scare</v>
      </c>
      <c r="H263">
        <v>92.46</v>
      </c>
      <c r="I263" t="s">
        <v>17</v>
      </c>
    </row>
    <row r="264" spans="1:9" x14ac:dyDescent="0.45">
      <c r="A264">
        <v>2018</v>
      </c>
      <c r="B264">
        <v>3</v>
      </c>
      <c r="C264" t="s">
        <v>17</v>
      </c>
      <c r="D264" t="str">
        <f>VLOOKUP(C264,Teams!$A:$B,2,FALSE)</f>
        <v>Turkey Monkeys</v>
      </c>
      <c r="E264">
        <v>86.72</v>
      </c>
      <c r="F264" t="s">
        <v>18</v>
      </c>
      <c r="G264" t="str">
        <f>VLOOKUP(F264,Teams!$A:$B,2,FALSE)</f>
        <v>KC Gophers</v>
      </c>
      <c r="H264">
        <v>92.46</v>
      </c>
      <c r="I264" t="s">
        <v>18</v>
      </c>
    </row>
    <row r="265" spans="1:9" x14ac:dyDescent="0.45">
      <c r="A265">
        <v>2015</v>
      </c>
      <c r="B265">
        <v>9</v>
      </c>
      <c r="C265" t="s">
        <v>18</v>
      </c>
      <c r="D265" t="str">
        <f>VLOOKUP(C265,Teams!$A:$B,2,FALSE)</f>
        <v>KC Gophers</v>
      </c>
      <c r="E265">
        <v>123.18</v>
      </c>
      <c r="F265" t="s">
        <v>14</v>
      </c>
      <c r="G265" t="str">
        <f>VLOOKUP(F265,Teams!$A:$B,2,FALSE)</f>
        <v>Georgia Peanuts</v>
      </c>
      <c r="H265">
        <v>92.44</v>
      </c>
      <c r="I265" t="s">
        <v>18</v>
      </c>
    </row>
    <row r="266" spans="1:9" x14ac:dyDescent="0.45">
      <c r="A266">
        <v>2016</v>
      </c>
      <c r="B266">
        <v>16</v>
      </c>
      <c r="C266" t="s">
        <v>18</v>
      </c>
      <c r="D266" t="str">
        <f>VLOOKUP(C266,Teams!$A:$B,2,FALSE)</f>
        <v>KC Gophers</v>
      </c>
      <c r="E266">
        <v>151.58000000000001</v>
      </c>
      <c r="F266" t="s">
        <v>8</v>
      </c>
      <c r="G266" t="str">
        <f>VLOOKUP(F266,Teams!$A:$B,2,FALSE)</f>
        <v>Belmont Trees</v>
      </c>
      <c r="H266">
        <v>92</v>
      </c>
      <c r="I266" t="s">
        <v>18</v>
      </c>
    </row>
    <row r="267" spans="1:9" x14ac:dyDescent="0.45">
      <c r="A267">
        <v>2018</v>
      </c>
      <c r="B267">
        <v>13</v>
      </c>
      <c r="C267" t="s">
        <v>8</v>
      </c>
      <c r="D267" t="str">
        <f>VLOOKUP(C267,Teams!$A:$B,2,FALSE)</f>
        <v>Belmont Trees</v>
      </c>
      <c r="E267">
        <v>73.38</v>
      </c>
      <c r="F267" t="s">
        <v>11</v>
      </c>
      <c r="G267" t="str">
        <f>VLOOKUP(F267,Teams!$A:$B,2,FALSE)</f>
        <v>Pigskin on the Gridiron</v>
      </c>
      <c r="H267">
        <v>91.78</v>
      </c>
      <c r="I267" t="s">
        <v>11</v>
      </c>
    </row>
    <row r="268" spans="1:9" x14ac:dyDescent="0.45">
      <c r="A268">
        <v>2017</v>
      </c>
      <c r="B268">
        <v>8</v>
      </c>
      <c r="C268" t="s">
        <v>7</v>
      </c>
      <c r="D268" t="str">
        <f>VLOOKUP(C268,Teams!$A:$B,2,FALSE)</f>
        <v>Southern Sharks</v>
      </c>
      <c r="E268">
        <v>106.94</v>
      </c>
      <c r="F268" t="s">
        <v>17</v>
      </c>
      <c r="G268" t="str">
        <f>VLOOKUP(F268,Teams!$A:$B,2,FALSE)</f>
        <v>Turkey Monkeys</v>
      </c>
      <c r="H268">
        <v>91.76</v>
      </c>
      <c r="I268" t="s">
        <v>7</v>
      </c>
    </row>
    <row r="269" spans="1:9" x14ac:dyDescent="0.45">
      <c r="A269">
        <v>2016</v>
      </c>
      <c r="B269">
        <v>8</v>
      </c>
      <c r="C269" t="s">
        <v>11</v>
      </c>
      <c r="D269" t="str">
        <f>VLOOKUP(C269,Teams!$A:$B,2,FALSE)</f>
        <v>Pigskin on the Gridiron</v>
      </c>
      <c r="E269">
        <v>125.4</v>
      </c>
      <c r="F269" t="s">
        <v>16</v>
      </c>
      <c r="G269" t="str">
        <f>VLOOKUP(F269,Teams!$A:$B,2,FALSE)</f>
        <v>Denver Donkeys</v>
      </c>
      <c r="H269">
        <v>91.6</v>
      </c>
      <c r="I269" t="s">
        <v>11</v>
      </c>
    </row>
    <row r="270" spans="1:9" x14ac:dyDescent="0.45">
      <c r="A270">
        <v>2016</v>
      </c>
      <c r="B270">
        <v>1</v>
      </c>
      <c r="C270" t="s">
        <v>10</v>
      </c>
      <c r="D270" t="str">
        <f>VLOOKUP(C270,Teams!$A:$B,2,FALSE)</f>
        <v>Team Foresight</v>
      </c>
      <c r="E270">
        <v>136.6</v>
      </c>
      <c r="F270" t="s">
        <v>7</v>
      </c>
      <c r="G270" t="str">
        <f>VLOOKUP(F270,Teams!$A:$B,2,FALSE)</f>
        <v>Southern Sharks</v>
      </c>
      <c r="H270">
        <v>91.52</v>
      </c>
      <c r="I270" t="s">
        <v>10</v>
      </c>
    </row>
    <row r="271" spans="1:9" x14ac:dyDescent="0.45">
      <c r="A271">
        <v>2018</v>
      </c>
      <c r="B271">
        <v>15</v>
      </c>
      <c r="C271" t="s">
        <v>18</v>
      </c>
      <c r="D271" t="str">
        <f>VLOOKUP(C271,Teams!$A:$B,2,FALSE)</f>
        <v>KC Gophers</v>
      </c>
      <c r="E271">
        <v>119.92</v>
      </c>
      <c r="F271" t="s">
        <v>17</v>
      </c>
      <c r="G271" t="str">
        <f>VLOOKUP(F271,Teams!$A:$B,2,FALSE)</f>
        <v>Turkey Monkeys</v>
      </c>
      <c r="H271">
        <v>91.5</v>
      </c>
      <c r="I271" t="s">
        <v>18</v>
      </c>
    </row>
    <row r="272" spans="1:9" x14ac:dyDescent="0.45">
      <c r="A272">
        <v>2015</v>
      </c>
      <c r="B272">
        <v>14</v>
      </c>
      <c r="C272" t="s">
        <v>11</v>
      </c>
      <c r="D272" t="str">
        <f>VLOOKUP(C272,Teams!$A:$B,2,FALSE)</f>
        <v>Pigskin on the Gridiron</v>
      </c>
      <c r="E272">
        <v>99.8</v>
      </c>
      <c r="F272" t="s">
        <v>18</v>
      </c>
      <c r="G272" t="str">
        <f>VLOOKUP(F272,Teams!$A:$B,2,FALSE)</f>
        <v>KC Gophers</v>
      </c>
      <c r="H272">
        <v>91.32</v>
      </c>
      <c r="I272" t="s">
        <v>11</v>
      </c>
    </row>
    <row r="273" spans="1:9" x14ac:dyDescent="0.45">
      <c r="A273">
        <v>2016</v>
      </c>
      <c r="B273">
        <v>9</v>
      </c>
      <c r="C273" t="s">
        <v>7</v>
      </c>
      <c r="D273" t="str">
        <f>VLOOKUP(C273,Teams!$A:$B,2,FALSE)</f>
        <v>Southern Sharks</v>
      </c>
      <c r="E273">
        <v>85.14</v>
      </c>
      <c r="F273" t="s">
        <v>10</v>
      </c>
      <c r="G273" t="str">
        <f>VLOOKUP(F273,Teams!$A:$B,2,FALSE)</f>
        <v>Team Foresight</v>
      </c>
      <c r="H273">
        <v>91.26</v>
      </c>
      <c r="I273" t="s">
        <v>10</v>
      </c>
    </row>
    <row r="274" spans="1:9" x14ac:dyDescent="0.45">
      <c r="A274">
        <v>2018</v>
      </c>
      <c r="B274">
        <v>8</v>
      </c>
      <c r="C274" t="s">
        <v>14</v>
      </c>
      <c r="D274" t="str">
        <f>VLOOKUP(C274,Teams!$A:$B,2,FALSE)</f>
        <v>Georgia Peanuts</v>
      </c>
      <c r="E274">
        <v>100.44</v>
      </c>
      <c r="F274" t="s">
        <v>8</v>
      </c>
      <c r="G274" t="str">
        <f>VLOOKUP(F274,Teams!$A:$B,2,FALSE)</f>
        <v>Belmont Trees</v>
      </c>
      <c r="H274">
        <v>91.04</v>
      </c>
      <c r="I274" t="s">
        <v>14</v>
      </c>
    </row>
    <row r="275" spans="1:9" x14ac:dyDescent="0.45">
      <c r="A275">
        <v>2018</v>
      </c>
      <c r="B275">
        <v>1</v>
      </c>
      <c r="C275" t="s">
        <v>8</v>
      </c>
      <c r="D275" t="str">
        <f>VLOOKUP(C275,Teams!$A:$B,2,FALSE)</f>
        <v>Belmont Trees</v>
      </c>
      <c r="E275">
        <v>132.84</v>
      </c>
      <c r="F275" t="s">
        <v>16</v>
      </c>
      <c r="G275" t="str">
        <f>VLOOKUP(F275,Teams!$A:$B,2,FALSE)</f>
        <v>Denver Donkeys</v>
      </c>
      <c r="H275">
        <v>90.94</v>
      </c>
      <c r="I275" t="s">
        <v>8</v>
      </c>
    </row>
    <row r="276" spans="1:9" x14ac:dyDescent="0.45">
      <c r="A276">
        <v>2015</v>
      </c>
      <c r="B276">
        <v>16</v>
      </c>
      <c r="C276" t="s">
        <v>18</v>
      </c>
      <c r="D276" t="str">
        <f>VLOOKUP(C276,Teams!$A:$B,2,FALSE)</f>
        <v>KC Gophers</v>
      </c>
      <c r="E276">
        <v>98.54</v>
      </c>
      <c r="F276" t="s">
        <v>17</v>
      </c>
      <c r="G276" t="str">
        <f>VLOOKUP(F276,Teams!$A:$B,2,FALSE)</f>
        <v>Turkey Monkeys</v>
      </c>
      <c r="H276">
        <v>90.88</v>
      </c>
      <c r="I276" t="s">
        <v>18</v>
      </c>
    </row>
    <row r="277" spans="1:9" x14ac:dyDescent="0.45">
      <c r="A277">
        <v>2014</v>
      </c>
      <c r="B277">
        <v>6</v>
      </c>
      <c r="C277" t="s">
        <v>11</v>
      </c>
      <c r="D277" t="str">
        <f>VLOOKUP(C277,Teams!$A:$B,2,FALSE)</f>
        <v>Pigskin on the Gridiron</v>
      </c>
      <c r="E277">
        <v>76.7</v>
      </c>
      <c r="F277" t="s">
        <v>17</v>
      </c>
      <c r="G277" t="str">
        <f>VLOOKUP(F277,Teams!$A:$B,2,FALSE)</f>
        <v>Turkey Monkeys</v>
      </c>
      <c r="H277">
        <v>90.4</v>
      </c>
      <c r="I277" t="s">
        <v>17</v>
      </c>
    </row>
    <row r="278" spans="1:9" x14ac:dyDescent="0.45">
      <c r="A278">
        <v>2014</v>
      </c>
      <c r="B278">
        <v>5</v>
      </c>
      <c r="C278" t="s">
        <v>18</v>
      </c>
      <c r="D278" t="str">
        <f>VLOOKUP(C278,Teams!$A:$B,2,FALSE)</f>
        <v>KC Gophers</v>
      </c>
      <c r="E278">
        <v>72.400000000000006</v>
      </c>
      <c r="F278" t="s">
        <v>16</v>
      </c>
      <c r="G278" t="str">
        <f>VLOOKUP(F278,Teams!$A:$B,2,FALSE)</f>
        <v>Denver Donkeys</v>
      </c>
      <c r="H278">
        <v>90.4</v>
      </c>
      <c r="I278" t="s">
        <v>16</v>
      </c>
    </row>
    <row r="279" spans="1:9" x14ac:dyDescent="0.45">
      <c r="A279">
        <v>2015</v>
      </c>
      <c r="B279">
        <v>2</v>
      </c>
      <c r="C279" t="s">
        <v>7</v>
      </c>
      <c r="D279" t="str">
        <f>VLOOKUP(C279,Teams!$A:$B,2,FALSE)</f>
        <v>Southern Sharks</v>
      </c>
      <c r="E279">
        <v>116.4</v>
      </c>
      <c r="F279" t="s">
        <v>14</v>
      </c>
      <c r="G279" t="str">
        <f>VLOOKUP(F279,Teams!$A:$B,2,FALSE)</f>
        <v>Georgia Peanuts</v>
      </c>
      <c r="H279">
        <v>90</v>
      </c>
      <c r="I279" t="s">
        <v>7</v>
      </c>
    </row>
    <row r="280" spans="1:9" x14ac:dyDescent="0.45">
      <c r="A280">
        <v>2017</v>
      </c>
      <c r="B280">
        <v>3</v>
      </c>
      <c r="C280" t="s">
        <v>14</v>
      </c>
      <c r="D280" t="str">
        <f>VLOOKUP(C280,Teams!$A:$B,2,FALSE)</f>
        <v>Georgia Peanuts</v>
      </c>
      <c r="E280">
        <v>144.6</v>
      </c>
      <c r="F280" t="s">
        <v>11</v>
      </c>
      <c r="G280" t="str">
        <f>VLOOKUP(F280,Teams!$A:$B,2,FALSE)</f>
        <v>Pigskin on the Gridiron</v>
      </c>
      <c r="H280">
        <v>89.78</v>
      </c>
      <c r="I280" t="s">
        <v>14</v>
      </c>
    </row>
    <row r="281" spans="1:9" x14ac:dyDescent="0.45">
      <c r="A281">
        <v>2015</v>
      </c>
      <c r="B281">
        <v>4</v>
      </c>
      <c r="C281" t="s">
        <v>8</v>
      </c>
      <c r="D281" t="str">
        <f>VLOOKUP(C281,Teams!$A:$B,2,FALSE)</f>
        <v>Belmont Trees</v>
      </c>
      <c r="E281">
        <v>109.9</v>
      </c>
      <c r="F281" t="s">
        <v>10</v>
      </c>
      <c r="G281" t="str">
        <f>VLOOKUP(F281,Teams!$A:$B,2,FALSE)</f>
        <v>Team Foresight</v>
      </c>
      <c r="H281">
        <v>89.46</v>
      </c>
      <c r="I281" t="s">
        <v>8</v>
      </c>
    </row>
    <row r="282" spans="1:9" x14ac:dyDescent="0.45">
      <c r="A282">
        <v>2017</v>
      </c>
      <c r="B282">
        <v>4</v>
      </c>
      <c r="C282" t="s">
        <v>14</v>
      </c>
      <c r="D282" t="str">
        <f>VLOOKUP(C282,Teams!$A:$B,2,FALSE)</f>
        <v>Georgia Peanuts</v>
      </c>
      <c r="E282">
        <v>99.6</v>
      </c>
      <c r="F282" t="s">
        <v>15</v>
      </c>
      <c r="G282" t="str">
        <f>VLOOKUP(F282,Teams!$A:$B,2,FALSE)</f>
        <v>Braintree Red Scare</v>
      </c>
      <c r="H282">
        <v>89.34</v>
      </c>
      <c r="I282" t="s">
        <v>14</v>
      </c>
    </row>
    <row r="283" spans="1:9" x14ac:dyDescent="0.45">
      <c r="A283">
        <v>2015</v>
      </c>
      <c r="B283">
        <v>1</v>
      </c>
      <c r="C283" t="s">
        <v>11</v>
      </c>
      <c r="D283" t="str">
        <f>VLOOKUP(C283,Teams!$A:$B,2,FALSE)</f>
        <v>Pigskin on the Gridiron</v>
      </c>
      <c r="E283">
        <v>155.04</v>
      </c>
      <c r="F283" t="s">
        <v>15</v>
      </c>
      <c r="G283" t="str">
        <f>VLOOKUP(F283,Teams!$A:$B,2,FALSE)</f>
        <v>Braintree Red Scare</v>
      </c>
      <c r="H283">
        <v>88.8</v>
      </c>
      <c r="I283" t="s">
        <v>11</v>
      </c>
    </row>
    <row r="284" spans="1:9" x14ac:dyDescent="0.45">
      <c r="A284">
        <v>2017</v>
      </c>
      <c r="B284">
        <v>7</v>
      </c>
      <c r="C284" t="s">
        <v>13</v>
      </c>
      <c r="D284" t="str">
        <f>VLOOKUP(C284,Teams!$A:$B,2,FALSE)</f>
        <v>Team Clueless</v>
      </c>
      <c r="E284">
        <v>98.04</v>
      </c>
      <c r="F284" t="s">
        <v>11</v>
      </c>
      <c r="G284" t="str">
        <f>VLOOKUP(F284,Teams!$A:$B,2,FALSE)</f>
        <v>Pigskin on the Gridiron</v>
      </c>
      <c r="H284">
        <v>88.66</v>
      </c>
      <c r="I284" t="s">
        <v>13</v>
      </c>
    </row>
    <row r="285" spans="1:9" x14ac:dyDescent="0.45">
      <c r="A285">
        <v>2014</v>
      </c>
      <c r="B285">
        <v>7</v>
      </c>
      <c r="C285" t="s">
        <v>18</v>
      </c>
      <c r="D285" t="str">
        <f>VLOOKUP(C285,Teams!$A:$B,2,FALSE)</f>
        <v>KC Gophers</v>
      </c>
      <c r="E285">
        <v>91.1</v>
      </c>
      <c r="F285" t="s">
        <v>11</v>
      </c>
      <c r="G285" t="str">
        <f>VLOOKUP(F285,Teams!$A:$B,2,FALSE)</f>
        <v>Pigskin on the Gridiron</v>
      </c>
      <c r="H285">
        <v>88.5</v>
      </c>
      <c r="I285" t="s">
        <v>18</v>
      </c>
    </row>
    <row r="286" spans="1:9" x14ac:dyDescent="0.45">
      <c r="A286">
        <v>2014</v>
      </c>
      <c r="B286">
        <v>10</v>
      </c>
      <c r="C286" t="s">
        <v>8</v>
      </c>
      <c r="D286" t="str">
        <f>VLOOKUP(C286,Teams!$A:$B,2,FALSE)</f>
        <v>Belmont Trees</v>
      </c>
      <c r="E286">
        <v>88.5</v>
      </c>
      <c r="F286" t="s">
        <v>16</v>
      </c>
      <c r="G286" t="str">
        <f>VLOOKUP(F286,Teams!$A:$B,2,FALSE)</f>
        <v>Denver Donkeys</v>
      </c>
      <c r="H286">
        <v>88.4</v>
      </c>
      <c r="I286" t="s">
        <v>8</v>
      </c>
    </row>
    <row r="287" spans="1:9" x14ac:dyDescent="0.45">
      <c r="A287">
        <v>2017</v>
      </c>
      <c r="B287">
        <v>1</v>
      </c>
      <c r="C287" t="s">
        <v>8</v>
      </c>
      <c r="D287" t="str">
        <f>VLOOKUP(C287,Teams!$A:$B,2,FALSE)</f>
        <v>Belmont Trees</v>
      </c>
      <c r="E287">
        <v>75.92</v>
      </c>
      <c r="F287" t="s">
        <v>16</v>
      </c>
      <c r="G287" t="str">
        <f>VLOOKUP(F287,Teams!$A:$B,2,FALSE)</f>
        <v>Denver Donkeys</v>
      </c>
      <c r="H287">
        <v>88.22</v>
      </c>
      <c r="I287" t="s">
        <v>16</v>
      </c>
    </row>
    <row r="288" spans="1:9" x14ac:dyDescent="0.45">
      <c r="A288">
        <v>2015</v>
      </c>
      <c r="B288">
        <v>3</v>
      </c>
      <c r="C288" t="s">
        <v>17</v>
      </c>
      <c r="D288" t="str">
        <f>VLOOKUP(C288,Teams!$A:$B,2,FALSE)</f>
        <v>Turkey Monkeys</v>
      </c>
      <c r="E288">
        <v>187.12</v>
      </c>
      <c r="F288" t="s">
        <v>18</v>
      </c>
      <c r="G288" t="str">
        <f>VLOOKUP(F288,Teams!$A:$B,2,FALSE)</f>
        <v>KC Gophers</v>
      </c>
      <c r="H288">
        <v>88.16</v>
      </c>
      <c r="I288" t="s">
        <v>17</v>
      </c>
    </row>
    <row r="289" spans="1:9" x14ac:dyDescent="0.45">
      <c r="A289">
        <v>2014</v>
      </c>
      <c r="B289">
        <v>11</v>
      </c>
      <c r="C289" t="s">
        <v>13</v>
      </c>
      <c r="D289" t="str">
        <f>VLOOKUP(C289,Teams!$A:$B,2,FALSE)</f>
        <v>Team Clueless</v>
      </c>
      <c r="E289">
        <v>87.1</v>
      </c>
      <c r="F289" t="s">
        <v>8</v>
      </c>
      <c r="G289" t="str">
        <f>VLOOKUP(F289,Teams!$A:$B,2,FALSE)</f>
        <v>Belmont Trees</v>
      </c>
      <c r="H289">
        <v>88.1</v>
      </c>
      <c r="I289" t="s">
        <v>8</v>
      </c>
    </row>
    <row r="290" spans="1:9" x14ac:dyDescent="0.45">
      <c r="A290">
        <v>2016</v>
      </c>
      <c r="B290">
        <v>8</v>
      </c>
      <c r="C290" t="s">
        <v>7</v>
      </c>
      <c r="D290" t="str">
        <f>VLOOKUP(C290,Teams!$A:$B,2,FALSE)</f>
        <v>Southern Sharks</v>
      </c>
      <c r="E290">
        <v>101.6</v>
      </c>
      <c r="F290" t="s">
        <v>17</v>
      </c>
      <c r="G290" t="str">
        <f>VLOOKUP(F290,Teams!$A:$B,2,FALSE)</f>
        <v>Turkey Monkeys</v>
      </c>
      <c r="H290">
        <v>88.04</v>
      </c>
      <c r="I290" t="s">
        <v>7</v>
      </c>
    </row>
    <row r="291" spans="1:9" x14ac:dyDescent="0.45">
      <c r="A291">
        <v>2017</v>
      </c>
      <c r="B291">
        <v>2</v>
      </c>
      <c r="C291" t="s">
        <v>16</v>
      </c>
      <c r="D291" t="str">
        <f>VLOOKUP(C291,Teams!$A:$B,2,FALSE)</f>
        <v>Denver Donkeys</v>
      </c>
      <c r="E291">
        <v>94.22</v>
      </c>
      <c r="F291" t="s">
        <v>17</v>
      </c>
      <c r="G291" t="str">
        <f>VLOOKUP(F291,Teams!$A:$B,2,FALSE)</f>
        <v>Turkey Monkeys</v>
      </c>
      <c r="H291">
        <v>87.76</v>
      </c>
      <c r="I291" t="s">
        <v>16</v>
      </c>
    </row>
    <row r="292" spans="1:9" x14ac:dyDescent="0.45">
      <c r="A292">
        <v>2016</v>
      </c>
      <c r="B292">
        <v>11</v>
      </c>
      <c r="C292" t="s">
        <v>10</v>
      </c>
      <c r="D292" t="str">
        <f>VLOOKUP(C292,Teams!$A:$B,2,FALSE)</f>
        <v>Team Foresight</v>
      </c>
      <c r="E292">
        <v>61.32</v>
      </c>
      <c r="F292" t="s">
        <v>15</v>
      </c>
      <c r="G292" t="str">
        <f>VLOOKUP(F292,Teams!$A:$B,2,FALSE)</f>
        <v>Braintree Red Scare</v>
      </c>
      <c r="H292">
        <v>87.68</v>
      </c>
      <c r="I292" t="s">
        <v>15</v>
      </c>
    </row>
    <row r="293" spans="1:9" x14ac:dyDescent="0.45">
      <c r="A293">
        <v>2016</v>
      </c>
      <c r="B293">
        <v>6</v>
      </c>
      <c r="C293" t="s">
        <v>14</v>
      </c>
      <c r="D293" t="str">
        <f>VLOOKUP(C293,Teams!$A:$B,2,FALSE)</f>
        <v>Georgia Peanuts</v>
      </c>
      <c r="E293">
        <v>115.04</v>
      </c>
      <c r="F293" t="s">
        <v>13</v>
      </c>
      <c r="G293" t="str">
        <f>VLOOKUP(F293,Teams!$A:$B,2,FALSE)</f>
        <v>Team Clueless</v>
      </c>
      <c r="H293">
        <v>87.32</v>
      </c>
      <c r="I293" t="s">
        <v>14</v>
      </c>
    </row>
    <row r="294" spans="1:9" x14ac:dyDescent="0.45">
      <c r="A294">
        <v>2015</v>
      </c>
      <c r="B294">
        <v>14</v>
      </c>
      <c r="C294" t="s">
        <v>14</v>
      </c>
      <c r="D294" t="str">
        <f>VLOOKUP(C294,Teams!$A:$B,2,FALSE)</f>
        <v>Georgia Peanuts</v>
      </c>
      <c r="E294">
        <v>90.7</v>
      </c>
      <c r="F294" t="s">
        <v>17</v>
      </c>
      <c r="G294" t="str">
        <f>VLOOKUP(F294,Teams!$A:$B,2,FALSE)</f>
        <v>Turkey Monkeys</v>
      </c>
      <c r="H294">
        <v>87.3</v>
      </c>
      <c r="I294" t="s">
        <v>14</v>
      </c>
    </row>
    <row r="295" spans="1:9" x14ac:dyDescent="0.45">
      <c r="A295">
        <v>2015</v>
      </c>
      <c r="B295">
        <v>16</v>
      </c>
      <c r="C295" t="s">
        <v>8</v>
      </c>
      <c r="D295" t="str">
        <f>VLOOKUP(C295,Teams!$A:$B,2,FALSE)</f>
        <v>Belmont Trees</v>
      </c>
      <c r="E295">
        <v>81.819999999999993</v>
      </c>
      <c r="F295" t="s">
        <v>13</v>
      </c>
      <c r="G295" t="str">
        <f>VLOOKUP(F295,Teams!$A:$B,2,FALSE)</f>
        <v>Team Clueless</v>
      </c>
      <c r="H295">
        <v>87.2</v>
      </c>
      <c r="I295" t="s">
        <v>13</v>
      </c>
    </row>
    <row r="296" spans="1:9" x14ac:dyDescent="0.45">
      <c r="A296">
        <v>2015</v>
      </c>
      <c r="B296">
        <v>15</v>
      </c>
      <c r="C296" t="s">
        <v>17</v>
      </c>
      <c r="D296" t="str">
        <f>VLOOKUP(C296,Teams!$A:$B,2,FALSE)</f>
        <v>Turkey Monkeys</v>
      </c>
      <c r="E296">
        <v>123</v>
      </c>
      <c r="F296" t="s">
        <v>8</v>
      </c>
      <c r="G296" t="str">
        <f>VLOOKUP(F296,Teams!$A:$B,2,FALSE)</f>
        <v>Belmont Trees</v>
      </c>
      <c r="H296">
        <v>87.08</v>
      </c>
      <c r="I296" t="s">
        <v>17</v>
      </c>
    </row>
    <row r="297" spans="1:9" x14ac:dyDescent="0.45">
      <c r="A297">
        <v>2017</v>
      </c>
      <c r="B297">
        <v>2</v>
      </c>
      <c r="C297" t="s">
        <v>8</v>
      </c>
      <c r="D297" t="str">
        <f>VLOOKUP(C297,Teams!$A:$B,2,FALSE)</f>
        <v>Belmont Trees</v>
      </c>
      <c r="E297">
        <v>91.02</v>
      </c>
      <c r="F297" t="s">
        <v>18</v>
      </c>
      <c r="G297" t="str">
        <f>VLOOKUP(F297,Teams!$A:$B,2,FALSE)</f>
        <v>KC Gophers</v>
      </c>
      <c r="H297">
        <v>87.04</v>
      </c>
      <c r="I297" t="s">
        <v>8</v>
      </c>
    </row>
    <row r="298" spans="1:9" x14ac:dyDescent="0.45">
      <c r="A298">
        <v>2016</v>
      </c>
      <c r="B298">
        <v>1</v>
      </c>
      <c r="C298" t="s">
        <v>8</v>
      </c>
      <c r="D298" t="str">
        <f>VLOOKUP(C298,Teams!$A:$B,2,FALSE)</f>
        <v>Belmont Trees</v>
      </c>
      <c r="E298">
        <v>127.22</v>
      </c>
      <c r="F298" t="s">
        <v>16</v>
      </c>
      <c r="G298" t="str">
        <f>VLOOKUP(F298,Teams!$A:$B,2,FALSE)</f>
        <v>Denver Donkeys</v>
      </c>
      <c r="H298">
        <v>86.82</v>
      </c>
      <c r="I298" t="s">
        <v>8</v>
      </c>
    </row>
    <row r="299" spans="1:9" x14ac:dyDescent="0.45">
      <c r="A299">
        <v>2016</v>
      </c>
      <c r="B299">
        <v>1</v>
      </c>
      <c r="C299" t="s">
        <v>18</v>
      </c>
      <c r="D299" t="str">
        <f>VLOOKUP(C299,Teams!$A:$B,2,FALSE)</f>
        <v>KC Gophers</v>
      </c>
      <c r="E299">
        <v>100.86</v>
      </c>
      <c r="F299" t="s">
        <v>13</v>
      </c>
      <c r="G299" t="str">
        <f>VLOOKUP(F299,Teams!$A:$B,2,FALSE)</f>
        <v>Team Clueless</v>
      </c>
      <c r="H299">
        <v>86.54</v>
      </c>
      <c r="I299" t="s">
        <v>18</v>
      </c>
    </row>
    <row r="300" spans="1:9" x14ac:dyDescent="0.45">
      <c r="A300">
        <v>2014</v>
      </c>
      <c r="B300">
        <v>5</v>
      </c>
      <c r="C300" t="s">
        <v>11</v>
      </c>
      <c r="D300" t="str">
        <f>VLOOKUP(C300,Teams!$A:$B,2,FALSE)</f>
        <v>Pigskin on the Gridiron</v>
      </c>
      <c r="E300">
        <v>116.8</v>
      </c>
      <c r="F300" t="s">
        <v>7</v>
      </c>
      <c r="G300" t="str">
        <f>VLOOKUP(F300,Teams!$A:$B,2,FALSE)</f>
        <v>Southern Sharks</v>
      </c>
      <c r="H300">
        <v>86.4</v>
      </c>
      <c r="I300" t="s">
        <v>11</v>
      </c>
    </row>
    <row r="301" spans="1:9" x14ac:dyDescent="0.45">
      <c r="A301">
        <v>2017</v>
      </c>
      <c r="B301">
        <v>5</v>
      </c>
      <c r="C301" t="s">
        <v>7</v>
      </c>
      <c r="D301" t="str">
        <f>VLOOKUP(C301,Teams!$A:$B,2,FALSE)</f>
        <v>Southern Sharks</v>
      </c>
      <c r="E301">
        <v>99.9</v>
      </c>
      <c r="F301" t="s">
        <v>15</v>
      </c>
      <c r="G301" t="str">
        <f>VLOOKUP(F301,Teams!$A:$B,2,FALSE)</f>
        <v>Braintree Red Scare</v>
      </c>
      <c r="H301">
        <v>86.38</v>
      </c>
      <c r="I301" t="s">
        <v>7</v>
      </c>
    </row>
    <row r="302" spans="1:9" x14ac:dyDescent="0.45">
      <c r="A302">
        <v>2015</v>
      </c>
      <c r="B302">
        <v>6</v>
      </c>
      <c r="C302" t="s">
        <v>14</v>
      </c>
      <c r="D302" t="str">
        <f>VLOOKUP(C302,Teams!$A:$B,2,FALSE)</f>
        <v>Georgia Peanuts</v>
      </c>
      <c r="E302">
        <v>88.94</v>
      </c>
      <c r="F302" t="s">
        <v>13</v>
      </c>
      <c r="G302" t="str">
        <f>VLOOKUP(F302,Teams!$A:$B,2,FALSE)</f>
        <v>Team Clueless</v>
      </c>
      <c r="H302">
        <v>86.36</v>
      </c>
      <c r="I302" t="s">
        <v>14</v>
      </c>
    </row>
    <row r="303" spans="1:9" x14ac:dyDescent="0.45">
      <c r="A303">
        <v>2016</v>
      </c>
      <c r="B303">
        <v>16</v>
      </c>
      <c r="C303" t="s">
        <v>7</v>
      </c>
      <c r="D303" t="str">
        <f>VLOOKUP(C303,Teams!$A:$B,2,FALSE)</f>
        <v>Southern Sharks</v>
      </c>
      <c r="E303">
        <v>97.78</v>
      </c>
      <c r="F303" t="s">
        <v>16</v>
      </c>
      <c r="G303" t="str">
        <f>VLOOKUP(F303,Teams!$A:$B,2,FALSE)</f>
        <v>Denver Donkeys</v>
      </c>
      <c r="H303">
        <v>86.2</v>
      </c>
      <c r="I303" t="s">
        <v>7</v>
      </c>
    </row>
    <row r="304" spans="1:9" x14ac:dyDescent="0.45">
      <c r="A304">
        <v>2018</v>
      </c>
      <c r="B304">
        <v>9</v>
      </c>
      <c r="C304" t="s">
        <v>7</v>
      </c>
      <c r="D304" t="str">
        <f>VLOOKUP(C304,Teams!$A:$B,2,FALSE)</f>
        <v>Southern Sharks</v>
      </c>
      <c r="E304">
        <v>102.66</v>
      </c>
      <c r="F304" t="s">
        <v>10</v>
      </c>
      <c r="G304" t="str">
        <f>VLOOKUP(F304,Teams!$A:$B,2,FALSE)</f>
        <v>Team Foresight</v>
      </c>
      <c r="H304">
        <v>85.96</v>
      </c>
      <c r="I304" t="s">
        <v>7</v>
      </c>
    </row>
    <row r="305" spans="1:9" x14ac:dyDescent="0.45">
      <c r="A305">
        <v>2014</v>
      </c>
      <c r="B305">
        <v>13</v>
      </c>
      <c r="C305" t="s">
        <v>9</v>
      </c>
      <c r="D305" t="str">
        <f>VLOOKUP(C305,Teams!$A:$B,2,FALSE)</f>
        <v>Team Going</v>
      </c>
      <c r="E305">
        <v>50</v>
      </c>
      <c r="F305" t="s">
        <v>17</v>
      </c>
      <c r="G305" t="str">
        <f>VLOOKUP(F305,Teams!$A:$B,2,FALSE)</f>
        <v>Turkey Monkeys</v>
      </c>
      <c r="H305">
        <v>85.9</v>
      </c>
      <c r="I305" t="s">
        <v>17</v>
      </c>
    </row>
    <row r="306" spans="1:9" x14ac:dyDescent="0.45">
      <c r="A306">
        <v>2015</v>
      </c>
      <c r="B306">
        <v>4</v>
      </c>
      <c r="C306" t="s">
        <v>11</v>
      </c>
      <c r="D306" t="str">
        <f>VLOOKUP(C306,Teams!$A:$B,2,FALSE)</f>
        <v>Pigskin on the Gridiron</v>
      </c>
      <c r="E306">
        <v>121.08</v>
      </c>
      <c r="F306" t="s">
        <v>7</v>
      </c>
      <c r="G306" t="str">
        <f>VLOOKUP(F306,Teams!$A:$B,2,FALSE)</f>
        <v>Southern Sharks</v>
      </c>
      <c r="H306">
        <v>85.88</v>
      </c>
      <c r="I306" t="s">
        <v>11</v>
      </c>
    </row>
    <row r="307" spans="1:9" x14ac:dyDescent="0.45">
      <c r="A307">
        <v>2018</v>
      </c>
      <c r="B307">
        <v>8</v>
      </c>
      <c r="C307" t="s">
        <v>7</v>
      </c>
      <c r="D307" t="str">
        <f>VLOOKUP(C307,Teams!$A:$B,2,FALSE)</f>
        <v>Southern Sharks</v>
      </c>
      <c r="E307">
        <v>125.46</v>
      </c>
      <c r="F307" t="s">
        <v>17</v>
      </c>
      <c r="G307" t="str">
        <f>VLOOKUP(F307,Teams!$A:$B,2,FALSE)</f>
        <v>Turkey Monkeys</v>
      </c>
      <c r="H307">
        <v>85.68</v>
      </c>
      <c r="I307" t="s">
        <v>7</v>
      </c>
    </row>
    <row r="308" spans="1:9" x14ac:dyDescent="0.45">
      <c r="A308">
        <v>2018</v>
      </c>
      <c r="B308">
        <v>2</v>
      </c>
      <c r="C308" t="s">
        <v>8</v>
      </c>
      <c r="D308" t="str">
        <f>VLOOKUP(C308,Teams!$A:$B,2,FALSE)</f>
        <v>Belmont Trees</v>
      </c>
      <c r="E308">
        <v>84.56</v>
      </c>
      <c r="F308" t="s">
        <v>18</v>
      </c>
      <c r="G308" t="str">
        <f>VLOOKUP(F308,Teams!$A:$B,2,FALSE)</f>
        <v>KC Gophers</v>
      </c>
      <c r="H308">
        <v>85.58</v>
      </c>
      <c r="I308" t="s">
        <v>18</v>
      </c>
    </row>
    <row r="309" spans="1:9" x14ac:dyDescent="0.45">
      <c r="A309">
        <v>2017</v>
      </c>
      <c r="B309">
        <v>4</v>
      </c>
      <c r="C309" t="s">
        <v>18</v>
      </c>
      <c r="D309" t="str">
        <f>VLOOKUP(C309,Teams!$A:$B,2,FALSE)</f>
        <v>KC Gophers</v>
      </c>
      <c r="E309">
        <v>124.36</v>
      </c>
      <c r="F309" t="s">
        <v>16</v>
      </c>
      <c r="G309" t="str">
        <f>VLOOKUP(F309,Teams!$A:$B,2,FALSE)</f>
        <v>Denver Donkeys</v>
      </c>
      <c r="H309">
        <v>85.48</v>
      </c>
      <c r="I309" t="s">
        <v>18</v>
      </c>
    </row>
    <row r="310" spans="1:9" x14ac:dyDescent="0.45">
      <c r="A310">
        <v>2017</v>
      </c>
      <c r="B310">
        <v>6</v>
      </c>
      <c r="C310" t="s">
        <v>10</v>
      </c>
      <c r="D310" t="str">
        <f>VLOOKUP(C310,Teams!$A:$B,2,FALSE)</f>
        <v>Team Foresight</v>
      </c>
      <c r="E310">
        <v>110.54</v>
      </c>
      <c r="F310" t="s">
        <v>18</v>
      </c>
      <c r="G310" t="str">
        <f>VLOOKUP(F310,Teams!$A:$B,2,FALSE)</f>
        <v>KC Gophers</v>
      </c>
      <c r="H310">
        <v>85.42</v>
      </c>
      <c r="I310" t="s">
        <v>10</v>
      </c>
    </row>
    <row r="311" spans="1:9" x14ac:dyDescent="0.45">
      <c r="A311">
        <v>2016</v>
      </c>
      <c r="B311">
        <v>14</v>
      </c>
      <c r="C311" t="s">
        <v>7</v>
      </c>
      <c r="D311" t="str">
        <f>VLOOKUP(C311,Teams!$A:$B,2,FALSE)</f>
        <v>Southern Sharks</v>
      </c>
      <c r="E311">
        <v>114.24</v>
      </c>
      <c r="F311" t="s">
        <v>16</v>
      </c>
      <c r="G311" t="str">
        <f>VLOOKUP(F311,Teams!$A:$B,2,FALSE)</f>
        <v>Denver Donkeys</v>
      </c>
      <c r="H311">
        <v>85.4</v>
      </c>
      <c r="I311" t="s">
        <v>7</v>
      </c>
    </row>
    <row r="312" spans="1:9" x14ac:dyDescent="0.45">
      <c r="A312">
        <v>2016</v>
      </c>
      <c r="B312">
        <v>15</v>
      </c>
      <c r="C312" t="s">
        <v>10</v>
      </c>
      <c r="D312" t="str">
        <f>VLOOKUP(C312,Teams!$A:$B,2,FALSE)</f>
        <v>Team Foresight</v>
      </c>
      <c r="E312">
        <v>89.9</v>
      </c>
      <c r="F312" t="s">
        <v>7</v>
      </c>
      <c r="G312" t="str">
        <f>VLOOKUP(F312,Teams!$A:$B,2,FALSE)</f>
        <v>Southern Sharks</v>
      </c>
      <c r="H312">
        <v>85.4</v>
      </c>
      <c r="I312" t="s">
        <v>10</v>
      </c>
    </row>
    <row r="313" spans="1:9" x14ac:dyDescent="0.45">
      <c r="A313">
        <v>2017</v>
      </c>
      <c r="B313">
        <v>5</v>
      </c>
      <c r="C313" t="s">
        <v>10</v>
      </c>
      <c r="D313" t="str">
        <f>VLOOKUP(C313,Teams!$A:$B,2,FALSE)</f>
        <v>Team Foresight</v>
      </c>
      <c r="E313">
        <v>126.22</v>
      </c>
      <c r="F313" t="s">
        <v>14</v>
      </c>
      <c r="G313" t="str">
        <f>VLOOKUP(F313,Teams!$A:$B,2,FALSE)</f>
        <v>Georgia Peanuts</v>
      </c>
      <c r="H313">
        <v>85.24</v>
      </c>
      <c r="I313" t="s">
        <v>10</v>
      </c>
    </row>
    <row r="314" spans="1:9" x14ac:dyDescent="0.45">
      <c r="A314">
        <v>2014</v>
      </c>
      <c r="B314">
        <v>6</v>
      </c>
      <c r="C314" t="s">
        <v>10</v>
      </c>
      <c r="D314" t="str">
        <f>VLOOKUP(C314,Teams!$A:$B,2,FALSE)</f>
        <v>Team Foresight</v>
      </c>
      <c r="E314">
        <v>108.3</v>
      </c>
      <c r="F314" t="s">
        <v>16</v>
      </c>
      <c r="G314" t="str">
        <f>VLOOKUP(F314,Teams!$A:$B,2,FALSE)</f>
        <v>Denver Donkeys</v>
      </c>
      <c r="H314">
        <v>85.2</v>
      </c>
      <c r="I314" t="s">
        <v>10</v>
      </c>
    </row>
    <row r="315" spans="1:9" x14ac:dyDescent="0.45">
      <c r="A315">
        <v>2017</v>
      </c>
      <c r="B315">
        <v>7</v>
      </c>
      <c r="C315" t="s">
        <v>18</v>
      </c>
      <c r="D315" t="str">
        <f>VLOOKUP(C315,Teams!$A:$B,2,FALSE)</f>
        <v>KC Gophers</v>
      </c>
      <c r="E315">
        <v>37.700000000000003</v>
      </c>
      <c r="F315" t="s">
        <v>7</v>
      </c>
      <c r="G315" t="str">
        <f>VLOOKUP(F315,Teams!$A:$B,2,FALSE)</f>
        <v>Southern Sharks</v>
      </c>
      <c r="H315">
        <v>85.02</v>
      </c>
      <c r="I315" t="s">
        <v>7</v>
      </c>
    </row>
    <row r="316" spans="1:9" x14ac:dyDescent="0.45">
      <c r="A316">
        <v>2014</v>
      </c>
      <c r="B316">
        <v>15</v>
      </c>
      <c r="C316" t="s">
        <v>16</v>
      </c>
      <c r="D316" t="str">
        <f>VLOOKUP(C316,Teams!$A:$B,2,FALSE)</f>
        <v>Denver Donkeys</v>
      </c>
      <c r="E316">
        <v>150.4</v>
      </c>
      <c r="F316" t="s">
        <v>7</v>
      </c>
      <c r="G316" t="str">
        <f>VLOOKUP(F316,Teams!$A:$B,2,FALSE)</f>
        <v>Southern Sharks</v>
      </c>
      <c r="H316">
        <v>84.9</v>
      </c>
      <c r="I316" t="s">
        <v>16</v>
      </c>
    </row>
    <row r="317" spans="1:9" x14ac:dyDescent="0.45">
      <c r="A317">
        <v>2017</v>
      </c>
      <c r="B317">
        <v>3</v>
      </c>
      <c r="C317" t="s">
        <v>17</v>
      </c>
      <c r="D317" t="str">
        <f>VLOOKUP(C317,Teams!$A:$B,2,FALSE)</f>
        <v>Turkey Monkeys</v>
      </c>
      <c r="E317">
        <v>95.44</v>
      </c>
      <c r="F317" t="s">
        <v>18</v>
      </c>
      <c r="G317" t="str">
        <f>VLOOKUP(F317,Teams!$A:$B,2,FALSE)</f>
        <v>KC Gophers</v>
      </c>
      <c r="H317">
        <v>84.64</v>
      </c>
      <c r="I317" t="s">
        <v>17</v>
      </c>
    </row>
    <row r="318" spans="1:9" x14ac:dyDescent="0.45">
      <c r="A318">
        <v>2014</v>
      </c>
      <c r="B318">
        <v>12</v>
      </c>
      <c r="C318" t="s">
        <v>13</v>
      </c>
      <c r="D318" t="str">
        <f>VLOOKUP(C318,Teams!$A:$B,2,FALSE)</f>
        <v>Team Clueless</v>
      </c>
      <c r="E318">
        <v>69.099999999999994</v>
      </c>
      <c r="F318" t="s">
        <v>7</v>
      </c>
      <c r="G318" t="str">
        <f>VLOOKUP(F318,Teams!$A:$B,2,FALSE)</f>
        <v>Southern Sharks</v>
      </c>
      <c r="H318">
        <v>84.6</v>
      </c>
      <c r="I318" t="s">
        <v>7</v>
      </c>
    </row>
    <row r="319" spans="1:9" x14ac:dyDescent="0.45">
      <c r="A319">
        <v>2014</v>
      </c>
      <c r="B319">
        <v>11</v>
      </c>
      <c r="C319" t="s">
        <v>18</v>
      </c>
      <c r="D319" t="str">
        <f>VLOOKUP(C319,Teams!$A:$B,2,FALSE)</f>
        <v>KC Gophers</v>
      </c>
      <c r="E319">
        <v>74.8</v>
      </c>
      <c r="F319" t="s">
        <v>10</v>
      </c>
      <c r="G319" t="str">
        <f>VLOOKUP(F319,Teams!$A:$B,2,FALSE)</f>
        <v>Team Foresight</v>
      </c>
      <c r="H319">
        <v>84.5</v>
      </c>
      <c r="I319" t="s">
        <v>10</v>
      </c>
    </row>
    <row r="320" spans="1:9" x14ac:dyDescent="0.45">
      <c r="A320">
        <v>2015</v>
      </c>
      <c r="B320">
        <v>11</v>
      </c>
      <c r="C320" t="s">
        <v>13</v>
      </c>
      <c r="D320" t="str">
        <f>VLOOKUP(C320,Teams!$A:$B,2,FALSE)</f>
        <v>Team Clueless</v>
      </c>
      <c r="E320">
        <v>68.72</v>
      </c>
      <c r="F320" t="s">
        <v>7</v>
      </c>
      <c r="G320" t="str">
        <f>VLOOKUP(F320,Teams!$A:$B,2,FALSE)</f>
        <v>Southern Sharks</v>
      </c>
      <c r="H320">
        <v>84.16</v>
      </c>
      <c r="I320" t="s">
        <v>7</v>
      </c>
    </row>
    <row r="321" spans="1:9" x14ac:dyDescent="0.45">
      <c r="A321">
        <v>2016</v>
      </c>
      <c r="B321">
        <v>8</v>
      </c>
      <c r="C321" t="s">
        <v>10</v>
      </c>
      <c r="D321" t="str">
        <f>VLOOKUP(C321,Teams!$A:$B,2,FALSE)</f>
        <v>Team Foresight</v>
      </c>
      <c r="E321">
        <v>92.9</v>
      </c>
      <c r="F321" t="s">
        <v>13</v>
      </c>
      <c r="G321" t="str">
        <f>VLOOKUP(F321,Teams!$A:$B,2,FALSE)</f>
        <v>Team Clueless</v>
      </c>
      <c r="H321">
        <v>84.12</v>
      </c>
      <c r="I321" t="s">
        <v>10</v>
      </c>
    </row>
    <row r="322" spans="1:9" x14ac:dyDescent="0.45">
      <c r="A322">
        <v>2016</v>
      </c>
      <c r="B322">
        <v>16</v>
      </c>
      <c r="C322" t="s">
        <v>10</v>
      </c>
      <c r="D322" t="str">
        <f>VLOOKUP(C322,Teams!$A:$B,2,FALSE)</f>
        <v>Team Foresight</v>
      </c>
      <c r="E322">
        <v>94.6</v>
      </c>
      <c r="F322" t="s">
        <v>13</v>
      </c>
      <c r="G322" t="str">
        <f>VLOOKUP(F322,Teams!$A:$B,2,FALSE)</f>
        <v>Team Clueless</v>
      </c>
      <c r="H322">
        <v>84.04</v>
      </c>
      <c r="I322" t="s">
        <v>10</v>
      </c>
    </row>
    <row r="323" spans="1:9" x14ac:dyDescent="0.45">
      <c r="A323">
        <v>2014</v>
      </c>
      <c r="B323">
        <v>2</v>
      </c>
      <c r="C323" t="s">
        <v>11</v>
      </c>
      <c r="D323" t="str">
        <f>VLOOKUP(C323,Teams!$A:$B,2,FALSE)</f>
        <v>Pigskin on the Gridiron</v>
      </c>
      <c r="E323">
        <v>72</v>
      </c>
      <c r="F323" t="s">
        <v>9</v>
      </c>
      <c r="G323" t="str">
        <f>VLOOKUP(F323,Teams!$A:$B,2,FALSE)</f>
        <v>Team Going</v>
      </c>
      <c r="H323">
        <v>84</v>
      </c>
      <c r="I323" t="s">
        <v>9</v>
      </c>
    </row>
    <row r="324" spans="1:9" x14ac:dyDescent="0.45">
      <c r="A324">
        <v>2014</v>
      </c>
      <c r="B324">
        <v>3</v>
      </c>
      <c r="C324" t="s">
        <v>18</v>
      </c>
      <c r="D324" t="str">
        <f>VLOOKUP(C324,Teams!$A:$B,2,FALSE)</f>
        <v>KC Gophers</v>
      </c>
      <c r="E324">
        <v>86.1</v>
      </c>
      <c r="F324" t="s">
        <v>14</v>
      </c>
      <c r="G324" t="str">
        <f>VLOOKUP(F324,Teams!$A:$B,2,FALSE)</f>
        <v>Georgia Peanuts</v>
      </c>
      <c r="H324">
        <v>83.9</v>
      </c>
      <c r="I324" t="s">
        <v>18</v>
      </c>
    </row>
    <row r="325" spans="1:9" x14ac:dyDescent="0.45">
      <c r="A325">
        <v>2015</v>
      </c>
      <c r="B325">
        <v>4</v>
      </c>
      <c r="C325" t="s">
        <v>17</v>
      </c>
      <c r="D325" t="str">
        <f>VLOOKUP(C325,Teams!$A:$B,2,FALSE)</f>
        <v>Turkey Monkeys</v>
      </c>
      <c r="E325">
        <v>92.26</v>
      </c>
      <c r="F325" t="s">
        <v>13</v>
      </c>
      <c r="G325" t="str">
        <f>VLOOKUP(F325,Teams!$A:$B,2,FALSE)</f>
        <v>Team Clueless</v>
      </c>
      <c r="H325">
        <v>83.82</v>
      </c>
      <c r="I325" t="s">
        <v>17</v>
      </c>
    </row>
    <row r="326" spans="1:9" x14ac:dyDescent="0.45">
      <c r="A326">
        <v>2017</v>
      </c>
      <c r="B326">
        <v>2</v>
      </c>
      <c r="C326" t="s">
        <v>13</v>
      </c>
      <c r="D326" t="str">
        <f>VLOOKUP(C326,Teams!$A:$B,2,FALSE)</f>
        <v>Team Clueless</v>
      </c>
      <c r="E326">
        <v>93.28</v>
      </c>
      <c r="F326" t="s">
        <v>15</v>
      </c>
      <c r="G326" t="str">
        <f>VLOOKUP(F326,Teams!$A:$B,2,FALSE)</f>
        <v>Braintree Red Scare</v>
      </c>
      <c r="H326">
        <v>83.16</v>
      </c>
      <c r="I326" t="s">
        <v>13</v>
      </c>
    </row>
    <row r="327" spans="1:9" x14ac:dyDescent="0.45">
      <c r="A327">
        <v>2014</v>
      </c>
      <c r="B327">
        <v>12</v>
      </c>
      <c r="C327" t="s">
        <v>14</v>
      </c>
      <c r="D327" t="str">
        <f>VLOOKUP(C327,Teams!$A:$B,2,FALSE)</f>
        <v>Georgia Peanuts</v>
      </c>
      <c r="E327">
        <v>135.69999999999999</v>
      </c>
      <c r="F327" t="s">
        <v>8</v>
      </c>
      <c r="G327" t="str">
        <f>VLOOKUP(F327,Teams!$A:$B,2,FALSE)</f>
        <v>Belmont Trees</v>
      </c>
      <c r="H327">
        <v>83</v>
      </c>
      <c r="I327" t="s">
        <v>14</v>
      </c>
    </row>
    <row r="328" spans="1:9" x14ac:dyDescent="0.45">
      <c r="A328">
        <v>2014</v>
      </c>
      <c r="B328">
        <v>1</v>
      </c>
      <c r="C328" t="s">
        <v>11</v>
      </c>
      <c r="D328" t="str">
        <f>VLOOKUP(C328,Teams!$A:$B,2,FALSE)</f>
        <v>Pigskin on the Gridiron</v>
      </c>
      <c r="E328">
        <v>63.6</v>
      </c>
      <c r="F328" t="s">
        <v>12</v>
      </c>
      <c r="G328" t="str">
        <f>VLOOKUP(F328,Teams!$A:$B,2,FALSE)</f>
        <v>Athens Ospreys</v>
      </c>
      <c r="H328">
        <v>82.7</v>
      </c>
      <c r="I328" t="s">
        <v>12</v>
      </c>
    </row>
    <row r="329" spans="1:9" x14ac:dyDescent="0.45">
      <c r="A329">
        <v>2017</v>
      </c>
      <c r="B329">
        <v>16</v>
      </c>
      <c r="C329" t="s">
        <v>16</v>
      </c>
      <c r="D329" t="str">
        <f>VLOOKUP(C329,Teams!$A:$B,2,FALSE)</f>
        <v>Denver Donkeys</v>
      </c>
      <c r="E329">
        <v>80.94</v>
      </c>
      <c r="F329" t="s">
        <v>15</v>
      </c>
      <c r="G329" t="str">
        <f>VLOOKUP(F329,Teams!$A:$B,2,FALSE)</f>
        <v>Braintree Red Scare</v>
      </c>
      <c r="H329">
        <v>82.44</v>
      </c>
      <c r="I329" t="s">
        <v>15</v>
      </c>
    </row>
    <row r="330" spans="1:9" x14ac:dyDescent="0.45">
      <c r="A330">
        <v>2017</v>
      </c>
      <c r="B330">
        <v>1</v>
      </c>
      <c r="C330" t="s">
        <v>10</v>
      </c>
      <c r="D330" t="str">
        <f>VLOOKUP(C330,Teams!$A:$B,2,FALSE)</f>
        <v>Team Foresight</v>
      </c>
      <c r="E330">
        <v>123.36</v>
      </c>
      <c r="F330" t="s">
        <v>7</v>
      </c>
      <c r="G330" t="str">
        <f>VLOOKUP(F330,Teams!$A:$B,2,FALSE)</f>
        <v>Southern Sharks</v>
      </c>
      <c r="H330">
        <v>82.24</v>
      </c>
      <c r="I330" t="s">
        <v>10</v>
      </c>
    </row>
    <row r="331" spans="1:9" x14ac:dyDescent="0.45">
      <c r="A331">
        <v>2018</v>
      </c>
      <c r="B331">
        <v>3</v>
      </c>
      <c r="C331" t="s">
        <v>14</v>
      </c>
      <c r="D331" t="str">
        <f>VLOOKUP(C331,Teams!$A:$B,2,FALSE)</f>
        <v>Georgia Peanuts</v>
      </c>
      <c r="E331">
        <v>95.1</v>
      </c>
      <c r="F331" t="s">
        <v>11</v>
      </c>
      <c r="G331" t="str">
        <f>VLOOKUP(F331,Teams!$A:$B,2,FALSE)</f>
        <v>Pigskin on the Gridiron</v>
      </c>
      <c r="H331">
        <v>82.22</v>
      </c>
      <c r="I331" t="s">
        <v>14</v>
      </c>
    </row>
    <row r="332" spans="1:9" x14ac:dyDescent="0.45">
      <c r="A332">
        <v>2018</v>
      </c>
      <c r="B332">
        <v>7</v>
      </c>
      <c r="C332" t="s">
        <v>16</v>
      </c>
      <c r="D332" t="str">
        <f>VLOOKUP(C332,Teams!$A:$B,2,FALSE)</f>
        <v>Denver Donkeys</v>
      </c>
      <c r="E332">
        <v>116.76</v>
      </c>
      <c r="F332" t="s">
        <v>14</v>
      </c>
      <c r="G332" t="str">
        <f>VLOOKUP(F332,Teams!$A:$B,2,FALSE)</f>
        <v>Georgia Peanuts</v>
      </c>
      <c r="H332">
        <v>82.14</v>
      </c>
      <c r="I332" t="s">
        <v>16</v>
      </c>
    </row>
    <row r="333" spans="1:9" x14ac:dyDescent="0.45">
      <c r="A333">
        <v>2014</v>
      </c>
      <c r="B333">
        <v>9</v>
      </c>
      <c r="C333" t="s">
        <v>13</v>
      </c>
      <c r="D333" t="str">
        <f>VLOOKUP(C333,Teams!$A:$B,2,FALSE)</f>
        <v>Team Clueless</v>
      </c>
      <c r="E333">
        <v>37.1</v>
      </c>
      <c r="F333" t="s">
        <v>11</v>
      </c>
      <c r="G333" t="str">
        <f>VLOOKUP(F333,Teams!$A:$B,2,FALSE)</f>
        <v>Pigskin on the Gridiron</v>
      </c>
      <c r="H333">
        <v>81.900000000000006</v>
      </c>
      <c r="I333" t="s">
        <v>11</v>
      </c>
    </row>
    <row r="334" spans="1:9" x14ac:dyDescent="0.45">
      <c r="A334">
        <v>2017</v>
      </c>
      <c r="B334">
        <v>15</v>
      </c>
      <c r="C334" t="s">
        <v>13</v>
      </c>
      <c r="D334" t="str">
        <f>VLOOKUP(C334,Teams!$A:$B,2,FALSE)</f>
        <v>Team Clueless</v>
      </c>
      <c r="E334">
        <v>69.62</v>
      </c>
      <c r="F334" t="s">
        <v>7</v>
      </c>
      <c r="G334" t="str">
        <f>VLOOKUP(F334,Teams!$A:$B,2,FALSE)</f>
        <v>Southern Sharks</v>
      </c>
      <c r="H334">
        <v>81.58</v>
      </c>
      <c r="I334" t="s">
        <v>7</v>
      </c>
    </row>
    <row r="335" spans="1:9" x14ac:dyDescent="0.45">
      <c r="A335">
        <v>2014</v>
      </c>
      <c r="B335">
        <v>4</v>
      </c>
      <c r="C335" t="s">
        <v>8</v>
      </c>
      <c r="D335" t="str">
        <f>VLOOKUP(C335,Teams!$A:$B,2,FALSE)</f>
        <v>Belmont Trees</v>
      </c>
      <c r="E335">
        <v>87.5</v>
      </c>
      <c r="F335" t="s">
        <v>11</v>
      </c>
      <c r="G335" t="str">
        <f>VLOOKUP(F335,Teams!$A:$B,2,FALSE)</f>
        <v>Pigskin on the Gridiron</v>
      </c>
      <c r="H335">
        <v>81.5</v>
      </c>
      <c r="I335" t="s">
        <v>8</v>
      </c>
    </row>
    <row r="336" spans="1:9" x14ac:dyDescent="0.45">
      <c r="A336">
        <v>2014</v>
      </c>
      <c r="B336">
        <v>5</v>
      </c>
      <c r="C336" t="s">
        <v>9</v>
      </c>
      <c r="D336" t="str">
        <f>VLOOKUP(C336,Teams!$A:$B,2,FALSE)</f>
        <v>Team Going</v>
      </c>
      <c r="E336">
        <v>88.2</v>
      </c>
      <c r="F336" t="s">
        <v>8</v>
      </c>
      <c r="G336" t="str">
        <f>VLOOKUP(F336,Teams!$A:$B,2,FALSE)</f>
        <v>Belmont Trees</v>
      </c>
      <c r="H336">
        <v>81.2</v>
      </c>
      <c r="I336" t="s">
        <v>9</v>
      </c>
    </row>
    <row r="337" spans="1:9" x14ac:dyDescent="0.45">
      <c r="A337">
        <v>2018</v>
      </c>
      <c r="B337">
        <v>3</v>
      </c>
      <c r="C337" t="s">
        <v>16</v>
      </c>
      <c r="D337" t="str">
        <f>VLOOKUP(C337,Teams!$A:$B,2,FALSE)</f>
        <v>Denver Donkeys</v>
      </c>
      <c r="E337">
        <v>97</v>
      </c>
      <c r="F337" t="s">
        <v>7</v>
      </c>
      <c r="G337" t="str">
        <f>VLOOKUP(F337,Teams!$A:$B,2,FALSE)</f>
        <v>Southern Sharks</v>
      </c>
      <c r="H337">
        <v>81.02</v>
      </c>
      <c r="I337" t="s">
        <v>16</v>
      </c>
    </row>
    <row r="338" spans="1:9" x14ac:dyDescent="0.45">
      <c r="A338">
        <v>2014</v>
      </c>
      <c r="B338">
        <v>7</v>
      </c>
      <c r="C338" t="s">
        <v>15</v>
      </c>
      <c r="D338" t="str">
        <f>VLOOKUP(C338,Teams!$A:$B,2,FALSE)</f>
        <v>Braintree Red Scare</v>
      </c>
      <c r="E338">
        <v>68.400000000000006</v>
      </c>
      <c r="F338" t="s">
        <v>8</v>
      </c>
      <c r="G338" t="str">
        <f>VLOOKUP(F338,Teams!$A:$B,2,FALSE)</f>
        <v>Belmont Trees</v>
      </c>
      <c r="H338">
        <v>81</v>
      </c>
      <c r="I338" t="s">
        <v>8</v>
      </c>
    </row>
    <row r="339" spans="1:9" x14ac:dyDescent="0.45">
      <c r="A339">
        <v>2017</v>
      </c>
      <c r="B339">
        <v>9</v>
      </c>
      <c r="C339" t="s">
        <v>15</v>
      </c>
      <c r="D339" t="str">
        <f>VLOOKUP(C339,Teams!$A:$B,2,FALSE)</f>
        <v>Braintree Red Scare</v>
      </c>
      <c r="E339">
        <v>46.18</v>
      </c>
      <c r="F339" t="s">
        <v>11</v>
      </c>
      <c r="G339" t="str">
        <f>VLOOKUP(F339,Teams!$A:$B,2,FALSE)</f>
        <v>Pigskin on the Gridiron</v>
      </c>
      <c r="H339">
        <v>80.88</v>
      </c>
      <c r="I339" t="s">
        <v>11</v>
      </c>
    </row>
    <row r="340" spans="1:9" x14ac:dyDescent="0.45">
      <c r="A340">
        <v>2014</v>
      </c>
      <c r="B340">
        <v>4</v>
      </c>
      <c r="C340" t="s">
        <v>7</v>
      </c>
      <c r="D340" t="str">
        <f>VLOOKUP(C340,Teams!$A:$B,2,FALSE)</f>
        <v>Southern Sharks</v>
      </c>
      <c r="E340">
        <v>97.1</v>
      </c>
      <c r="F340" t="s">
        <v>10</v>
      </c>
      <c r="G340" t="str">
        <f>VLOOKUP(F340,Teams!$A:$B,2,FALSE)</f>
        <v>Team Foresight</v>
      </c>
      <c r="H340">
        <v>80.8</v>
      </c>
      <c r="I340" t="s">
        <v>7</v>
      </c>
    </row>
    <row r="341" spans="1:9" x14ac:dyDescent="0.45">
      <c r="A341">
        <v>2016</v>
      </c>
      <c r="B341">
        <v>7</v>
      </c>
      <c r="C341" t="s">
        <v>18</v>
      </c>
      <c r="D341" t="str">
        <f>VLOOKUP(C341,Teams!$A:$B,2,FALSE)</f>
        <v>KC Gophers</v>
      </c>
      <c r="E341">
        <v>82.04</v>
      </c>
      <c r="F341" t="s">
        <v>7</v>
      </c>
      <c r="G341" t="str">
        <f>VLOOKUP(F341,Teams!$A:$B,2,FALSE)</f>
        <v>Southern Sharks</v>
      </c>
      <c r="H341">
        <v>80.739999999999995</v>
      </c>
      <c r="I341" t="s">
        <v>18</v>
      </c>
    </row>
    <row r="342" spans="1:9" x14ac:dyDescent="0.45">
      <c r="A342">
        <v>2017</v>
      </c>
      <c r="B342">
        <v>6</v>
      </c>
      <c r="C342" t="s">
        <v>7</v>
      </c>
      <c r="D342" t="str">
        <f>VLOOKUP(C342,Teams!$A:$B,2,FALSE)</f>
        <v>Southern Sharks</v>
      </c>
      <c r="E342">
        <v>125.48</v>
      </c>
      <c r="F342" t="s">
        <v>8</v>
      </c>
      <c r="G342" t="str">
        <f>VLOOKUP(F342,Teams!$A:$B,2,FALSE)</f>
        <v>Belmont Trees</v>
      </c>
      <c r="H342">
        <v>80.62</v>
      </c>
      <c r="I342" t="s">
        <v>7</v>
      </c>
    </row>
    <row r="343" spans="1:9" x14ac:dyDescent="0.45">
      <c r="A343">
        <v>2014</v>
      </c>
      <c r="B343">
        <v>15</v>
      </c>
      <c r="C343" t="s">
        <v>10</v>
      </c>
      <c r="D343" t="str">
        <f>VLOOKUP(C343,Teams!$A:$B,2,FALSE)</f>
        <v>Team Foresight</v>
      </c>
      <c r="E343">
        <v>88</v>
      </c>
      <c r="F343" t="s">
        <v>14</v>
      </c>
      <c r="G343" t="str">
        <f>VLOOKUP(F343,Teams!$A:$B,2,FALSE)</f>
        <v>Georgia Peanuts</v>
      </c>
      <c r="H343">
        <v>80.5</v>
      </c>
      <c r="I343" t="s">
        <v>10</v>
      </c>
    </row>
    <row r="344" spans="1:9" x14ac:dyDescent="0.45">
      <c r="A344">
        <v>2015</v>
      </c>
      <c r="B344">
        <v>11</v>
      </c>
      <c r="C344" t="s">
        <v>11</v>
      </c>
      <c r="D344" t="str">
        <f>VLOOKUP(C344,Teams!$A:$B,2,FALSE)</f>
        <v>Pigskin on the Gridiron</v>
      </c>
      <c r="E344">
        <v>100.88</v>
      </c>
      <c r="F344" t="s">
        <v>14</v>
      </c>
      <c r="G344" t="str">
        <f>VLOOKUP(F344,Teams!$A:$B,2,FALSE)</f>
        <v>Georgia Peanuts</v>
      </c>
      <c r="H344">
        <v>79.92</v>
      </c>
      <c r="I344" t="s">
        <v>11</v>
      </c>
    </row>
    <row r="345" spans="1:9" x14ac:dyDescent="0.45">
      <c r="A345">
        <v>2017</v>
      </c>
      <c r="B345">
        <v>1</v>
      </c>
      <c r="C345" t="s">
        <v>18</v>
      </c>
      <c r="D345" t="str">
        <f>VLOOKUP(C345,Teams!$A:$B,2,FALSE)</f>
        <v>KC Gophers</v>
      </c>
      <c r="E345">
        <v>81.040000000000006</v>
      </c>
      <c r="F345" t="s">
        <v>13</v>
      </c>
      <c r="G345" t="str">
        <f>VLOOKUP(F345,Teams!$A:$B,2,FALSE)</f>
        <v>Team Clueless</v>
      </c>
      <c r="H345">
        <v>79.28</v>
      </c>
      <c r="I345" t="s">
        <v>18</v>
      </c>
    </row>
    <row r="346" spans="1:9" x14ac:dyDescent="0.45">
      <c r="A346">
        <v>2015</v>
      </c>
      <c r="B346">
        <v>11</v>
      </c>
      <c r="C346" t="s">
        <v>18</v>
      </c>
      <c r="D346" t="str">
        <f>VLOOKUP(C346,Teams!$A:$B,2,FALSE)</f>
        <v>KC Gophers</v>
      </c>
      <c r="E346">
        <v>60.64</v>
      </c>
      <c r="F346" t="s">
        <v>8</v>
      </c>
      <c r="G346" t="str">
        <f>VLOOKUP(F346,Teams!$A:$B,2,FALSE)</f>
        <v>Belmont Trees</v>
      </c>
      <c r="H346">
        <v>79.28</v>
      </c>
      <c r="I346" t="s">
        <v>8</v>
      </c>
    </row>
    <row r="347" spans="1:9" x14ac:dyDescent="0.45">
      <c r="A347">
        <v>2014</v>
      </c>
      <c r="B347">
        <v>13</v>
      </c>
      <c r="C347" t="s">
        <v>11</v>
      </c>
      <c r="D347" t="str">
        <f>VLOOKUP(C347,Teams!$A:$B,2,FALSE)</f>
        <v>Pigskin on the Gridiron</v>
      </c>
      <c r="E347">
        <v>82.6</v>
      </c>
      <c r="F347" t="s">
        <v>18</v>
      </c>
      <c r="G347" t="str">
        <f>VLOOKUP(F347,Teams!$A:$B,2,FALSE)</f>
        <v>KC Gophers</v>
      </c>
      <c r="H347">
        <v>79.2</v>
      </c>
      <c r="I347" t="s">
        <v>11</v>
      </c>
    </row>
    <row r="348" spans="1:9" x14ac:dyDescent="0.45">
      <c r="A348">
        <v>2014</v>
      </c>
      <c r="B348">
        <v>6</v>
      </c>
      <c r="C348" t="s">
        <v>12</v>
      </c>
      <c r="D348" t="str">
        <f>VLOOKUP(C348,Teams!$A:$B,2,FALSE)</f>
        <v>Athens Ospreys</v>
      </c>
      <c r="E348">
        <v>71.2</v>
      </c>
      <c r="F348" t="s">
        <v>18</v>
      </c>
      <c r="G348" t="str">
        <f>VLOOKUP(F348,Teams!$A:$B,2,FALSE)</f>
        <v>KC Gophers</v>
      </c>
      <c r="H348">
        <v>77.8</v>
      </c>
      <c r="I348" t="s">
        <v>18</v>
      </c>
    </row>
    <row r="349" spans="1:9" x14ac:dyDescent="0.45">
      <c r="A349">
        <v>2014</v>
      </c>
      <c r="B349">
        <v>3</v>
      </c>
      <c r="C349" t="s">
        <v>10</v>
      </c>
      <c r="D349" t="str">
        <f>VLOOKUP(C349,Teams!$A:$B,2,FALSE)</f>
        <v>Team Foresight</v>
      </c>
      <c r="E349">
        <v>98.7</v>
      </c>
      <c r="F349" t="s">
        <v>11</v>
      </c>
      <c r="G349" t="str">
        <f>VLOOKUP(F349,Teams!$A:$B,2,FALSE)</f>
        <v>Pigskin on the Gridiron</v>
      </c>
      <c r="H349">
        <v>77.599999999999994</v>
      </c>
      <c r="I349" t="s">
        <v>10</v>
      </c>
    </row>
    <row r="350" spans="1:9" x14ac:dyDescent="0.45">
      <c r="A350">
        <v>2014</v>
      </c>
      <c r="B350">
        <v>3</v>
      </c>
      <c r="C350" t="s">
        <v>7</v>
      </c>
      <c r="D350" t="str">
        <f>VLOOKUP(C350,Teams!$A:$B,2,FALSE)</f>
        <v>Southern Sharks</v>
      </c>
      <c r="E350">
        <v>81.5</v>
      </c>
      <c r="F350" t="s">
        <v>9</v>
      </c>
      <c r="G350" t="str">
        <f>VLOOKUP(F350,Teams!$A:$B,2,FALSE)</f>
        <v>Team Going</v>
      </c>
      <c r="H350">
        <v>77.599999999999994</v>
      </c>
      <c r="I350" t="s">
        <v>7</v>
      </c>
    </row>
    <row r="351" spans="1:9" x14ac:dyDescent="0.45">
      <c r="A351">
        <v>2015</v>
      </c>
      <c r="B351">
        <v>8</v>
      </c>
      <c r="C351" t="s">
        <v>14</v>
      </c>
      <c r="D351" t="str">
        <f>VLOOKUP(C351,Teams!$A:$B,2,FALSE)</f>
        <v>Georgia Peanuts</v>
      </c>
      <c r="E351">
        <v>134.66</v>
      </c>
      <c r="F351" t="s">
        <v>8</v>
      </c>
      <c r="G351" t="str">
        <f>VLOOKUP(F351,Teams!$A:$B,2,FALSE)</f>
        <v>Belmont Trees</v>
      </c>
      <c r="H351">
        <v>77.48</v>
      </c>
      <c r="I351" t="s">
        <v>14</v>
      </c>
    </row>
    <row r="352" spans="1:9" x14ac:dyDescent="0.45">
      <c r="A352">
        <v>2017</v>
      </c>
      <c r="B352">
        <v>10</v>
      </c>
      <c r="C352" t="s">
        <v>16</v>
      </c>
      <c r="D352" t="str">
        <f>VLOOKUP(C352,Teams!$A:$B,2,FALSE)</f>
        <v>Denver Donkeys</v>
      </c>
      <c r="E352">
        <v>84.04</v>
      </c>
      <c r="F352" t="s">
        <v>8</v>
      </c>
      <c r="G352" t="str">
        <f>VLOOKUP(F352,Teams!$A:$B,2,FALSE)</f>
        <v>Belmont Trees</v>
      </c>
      <c r="H352">
        <v>77.34</v>
      </c>
      <c r="I352" t="s">
        <v>16</v>
      </c>
    </row>
    <row r="353" spans="1:9" x14ac:dyDescent="0.45">
      <c r="A353">
        <v>2014</v>
      </c>
      <c r="B353">
        <v>16</v>
      </c>
      <c r="C353" t="s">
        <v>7</v>
      </c>
      <c r="D353" t="str">
        <f>VLOOKUP(C353,Teams!$A:$B,2,FALSE)</f>
        <v>Southern Sharks</v>
      </c>
      <c r="E353">
        <v>109.1</v>
      </c>
      <c r="F353" t="s">
        <v>18</v>
      </c>
      <c r="G353" t="str">
        <f>VLOOKUP(F353,Teams!$A:$B,2,FALSE)</f>
        <v>KC Gophers</v>
      </c>
      <c r="H353">
        <v>77</v>
      </c>
      <c r="I353" t="s">
        <v>7</v>
      </c>
    </row>
    <row r="354" spans="1:9" x14ac:dyDescent="0.45">
      <c r="A354">
        <v>2014</v>
      </c>
      <c r="B354">
        <v>3</v>
      </c>
      <c r="C354" t="s">
        <v>16</v>
      </c>
      <c r="D354" t="str">
        <f>VLOOKUP(C354,Teams!$A:$B,2,FALSE)</f>
        <v>Denver Donkeys</v>
      </c>
      <c r="E354">
        <v>72.400000000000006</v>
      </c>
      <c r="F354" t="s">
        <v>17</v>
      </c>
      <c r="G354" t="str">
        <f>VLOOKUP(F354,Teams!$A:$B,2,FALSE)</f>
        <v>Turkey Monkeys</v>
      </c>
      <c r="H354">
        <v>76.400000000000006</v>
      </c>
      <c r="I354" t="s">
        <v>17</v>
      </c>
    </row>
    <row r="355" spans="1:9" x14ac:dyDescent="0.45">
      <c r="A355">
        <v>2017</v>
      </c>
      <c r="B355">
        <v>16</v>
      </c>
      <c r="C355" t="s">
        <v>10</v>
      </c>
      <c r="D355" t="str">
        <f>VLOOKUP(C355,Teams!$A:$B,2,FALSE)</f>
        <v>Team Foresight</v>
      </c>
      <c r="E355">
        <v>99.22</v>
      </c>
      <c r="F355" t="s">
        <v>7</v>
      </c>
      <c r="G355" t="str">
        <f>VLOOKUP(F355,Teams!$A:$B,2,FALSE)</f>
        <v>Southern Sharks</v>
      </c>
      <c r="H355">
        <v>76.36</v>
      </c>
      <c r="I355" t="s">
        <v>10</v>
      </c>
    </row>
    <row r="356" spans="1:9" x14ac:dyDescent="0.45">
      <c r="A356">
        <v>2016</v>
      </c>
      <c r="B356">
        <v>4</v>
      </c>
      <c r="C356" t="s">
        <v>11</v>
      </c>
      <c r="D356" t="str">
        <f>VLOOKUP(C356,Teams!$A:$B,2,FALSE)</f>
        <v>Pigskin on the Gridiron</v>
      </c>
      <c r="E356">
        <v>71.16</v>
      </c>
      <c r="F356" t="s">
        <v>7</v>
      </c>
      <c r="G356" t="str">
        <f>VLOOKUP(F356,Teams!$A:$B,2,FALSE)</f>
        <v>Southern Sharks</v>
      </c>
      <c r="H356">
        <v>76.34</v>
      </c>
      <c r="I356" t="s">
        <v>7</v>
      </c>
    </row>
    <row r="357" spans="1:9" x14ac:dyDescent="0.45">
      <c r="A357">
        <v>2014</v>
      </c>
      <c r="B357">
        <v>10</v>
      </c>
      <c r="C357" t="s">
        <v>10</v>
      </c>
      <c r="D357" t="str">
        <f>VLOOKUP(C357,Teams!$A:$B,2,FALSE)</f>
        <v>Team Foresight</v>
      </c>
      <c r="E357">
        <v>50.1</v>
      </c>
      <c r="F357" t="s">
        <v>17</v>
      </c>
      <c r="G357" t="str">
        <f>VLOOKUP(F357,Teams!$A:$B,2,FALSE)</f>
        <v>Turkey Monkeys</v>
      </c>
      <c r="H357">
        <v>76.3</v>
      </c>
      <c r="I357" t="s">
        <v>17</v>
      </c>
    </row>
    <row r="358" spans="1:9" x14ac:dyDescent="0.45">
      <c r="A358">
        <v>2016</v>
      </c>
      <c r="B358">
        <v>10</v>
      </c>
      <c r="C358" t="s">
        <v>14</v>
      </c>
      <c r="D358" t="str">
        <f>VLOOKUP(C358,Teams!$A:$B,2,FALSE)</f>
        <v>Georgia Peanuts</v>
      </c>
      <c r="E358">
        <v>101.54</v>
      </c>
      <c r="F358" t="s">
        <v>7</v>
      </c>
      <c r="G358" t="str">
        <f>VLOOKUP(F358,Teams!$A:$B,2,FALSE)</f>
        <v>Southern Sharks</v>
      </c>
      <c r="H358">
        <v>75.78</v>
      </c>
      <c r="I358" t="s">
        <v>14</v>
      </c>
    </row>
    <row r="359" spans="1:9" x14ac:dyDescent="0.45">
      <c r="A359">
        <v>2014</v>
      </c>
      <c r="B359">
        <v>2</v>
      </c>
      <c r="C359" t="s">
        <v>12</v>
      </c>
      <c r="D359" t="str">
        <f>VLOOKUP(C359,Teams!$A:$B,2,FALSE)</f>
        <v>Athens Ospreys</v>
      </c>
      <c r="E359">
        <v>96.7</v>
      </c>
      <c r="F359" t="s">
        <v>7</v>
      </c>
      <c r="G359" t="str">
        <f>VLOOKUP(F359,Teams!$A:$B,2,FALSE)</f>
        <v>Southern Sharks</v>
      </c>
      <c r="H359">
        <v>75.599999999999994</v>
      </c>
      <c r="I359" t="s">
        <v>12</v>
      </c>
    </row>
    <row r="360" spans="1:9" x14ac:dyDescent="0.45">
      <c r="A360">
        <v>2016</v>
      </c>
      <c r="B360">
        <v>9</v>
      </c>
      <c r="C360" t="s">
        <v>15</v>
      </c>
      <c r="D360" t="str">
        <f>VLOOKUP(C360,Teams!$A:$B,2,FALSE)</f>
        <v>Braintree Red Scare</v>
      </c>
      <c r="E360">
        <v>64.959999999999994</v>
      </c>
      <c r="F360" t="s">
        <v>11</v>
      </c>
      <c r="G360" t="str">
        <f>VLOOKUP(F360,Teams!$A:$B,2,FALSE)</f>
        <v>Pigskin on the Gridiron</v>
      </c>
      <c r="H360">
        <v>75.14</v>
      </c>
      <c r="I360" t="s">
        <v>11</v>
      </c>
    </row>
    <row r="361" spans="1:9" x14ac:dyDescent="0.45">
      <c r="A361">
        <v>2018</v>
      </c>
      <c r="B361">
        <v>14</v>
      </c>
      <c r="C361" t="s">
        <v>7</v>
      </c>
      <c r="D361" t="str">
        <f>VLOOKUP(C361,Teams!$A:$B,2,FALSE)</f>
        <v>Southern Sharks</v>
      </c>
      <c r="E361">
        <v>125.62</v>
      </c>
      <c r="F361" t="s">
        <v>16</v>
      </c>
      <c r="G361" t="str">
        <f>VLOOKUP(F361,Teams!$A:$B,2,FALSE)</f>
        <v>Denver Donkeys</v>
      </c>
      <c r="H361">
        <v>75.099999999999994</v>
      </c>
      <c r="I361" t="s">
        <v>7</v>
      </c>
    </row>
    <row r="362" spans="1:9" x14ac:dyDescent="0.45">
      <c r="A362">
        <v>2014</v>
      </c>
      <c r="B362">
        <v>2</v>
      </c>
      <c r="C362" t="s">
        <v>8</v>
      </c>
      <c r="D362" t="str">
        <f>VLOOKUP(C362,Teams!$A:$B,2,FALSE)</f>
        <v>Belmont Trees</v>
      </c>
      <c r="E362">
        <v>70.099999999999994</v>
      </c>
      <c r="F362" t="s">
        <v>10</v>
      </c>
      <c r="G362" t="str">
        <f>VLOOKUP(F362,Teams!$A:$B,2,FALSE)</f>
        <v>Team Foresight</v>
      </c>
      <c r="H362">
        <v>74.8</v>
      </c>
      <c r="I362" t="s">
        <v>10</v>
      </c>
    </row>
    <row r="363" spans="1:9" x14ac:dyDescent="0.45">
      <c r="A363">
        <v>2015</v>
      </c>
      <c r="B363">
        <v>11</v>
      </c>
      <c r="C363" t="s">
        <v>10</v>
      </c>
      <c r="D363" t="str">
        <f>VLOOKUP(C363,Teams!$A:$B,2,FALSE)</f>
        <v>Team Foresight</v>
      </c>
      <c r="E363">
        <v>112.3</v>
      </c>
      <c r="F363" t="s">
        <v>15</v>
      </c>
      <c r="G363" t="str">
        <f>VLOOKUP(F363,Teams!$A:$B,2,FALSE)</f>
        <v>Braintree Red Scare</v>
      </c>
      <c r="H363">
        <v>74.540000000000006</v>
      </c>
      <c r="I363" t="s">
        <v>10</v>
      </c>
    </row>
    <row r="364" spans="1:9" x14ac:dyDescent="0.45">
      <c r="A364">
        <v>2014</v>
      </c>
      <c r="B364">
        <v>10</v>
      </c>
      <c r="C364" t="s">
        <v>11</v>
      </c>
      <c r="D364" t="str">
        <f>VLOOKUP(C364,Teams!$A:$B,2,FALSE)</f>
        <v>Pigskin on the Gridiron</v>
      </c>
      <c r="E364">
        <v>155.4</v>
      </c>
      <c r="F364" t="s">
        <v>14</v>
      </c>
      <c r="G364" t="str">
        <f>VLOOKUP(F364,Teams!$A:$B,2,FALSE)</f>
        <v>Georgia Peanuts</v>
      </c>
      <c r="H364">
        <v>74.5</v>
      </c>
      <c r="I364" t="s">
        <v>11</v>
      </c>
    </row>
    <row r="365" spans="1:9" x14ac:dyDescent="0.45">
      <c r="A365">
        <v>2017</v>
      </c>
      <c r="B365">
        <v>14</v>
      </c>
      <c r="C365" t="s">
        <v>11</v>
      </c>
      <c r="D365" t="str">
        <f>VLOOKUP(C365,Teams!$A:$B,2,FALSE)</f>
        <v>Pigskin on the Gridiron</v>
      </c>
      <c r="E365">
        <v>118.76</v>
      </c>
      <c r="F365" t="s">
        <v>18</v>
      </c>
      <c r="G365" t="str">
        <f>VLOOKUP(F365,Teams!$A:$B,2,FALSE)</f>
        <v>KC Gophers</v>
      </c>
      <c r="H365">
        <v>74.319999999999993</v>
      </c>
      <c r="I365" t="s">
        <v>11</v>
      </c>
    </row>
    <row r="366" spans="1:9" x14ac:dyDescent="0.45">
      <c r="A366">
        <v>2017</v>
      </c>
      <c r="B366">
        <v>9</v>
      </c>
      <c r="C366" t="s">
        <v>13</v>
      </c>
      <c r="D366" t="str">
        <f>VLOOKUP(C366,Teams!$A:$B,2,FALSE)</f>
        <v>Team Clueless</v>
      </c>
      <c r="E366">
        <v>77.5</v>
      </c>
      <c r="F366" t="s">
        <v>16</v>
      </c>
      <c r="G366" t="str">
        <f>VLOOKUP(F366,Teams!$A:$B,2,FALSE)</f>
        <v>Denver Donkeys</v>
      </c>
      <c r="H366">
        <v>74.180000000000007</v>
      </c>
      <c r="I366" t="s">
        <v>13</v>
      </c>
    </row>
    <row r="367" spans="1:9" x14ac:dyDescent="0.45">
      <c r="A367">
        <v>2014</v>
      </c>
      <c r="B367">
        <v>10</v>
      </c>
      <c r="C367" t="s">
        <v>9</v>
      </c>
      <c r="D367" t="str">
        <f>VLOOKUP(C367,Teams!$A:$B,2,FALSE)</f>
        <v>Team Going</v>
      </c>
      <c r="E367">
        <v>60.5</v>
      </c>
      <c r="F367" t="s">
        <v>13</v>
      </c>
      <c r="G367" t="str">
        <f>VLOOKUP(F367,Teams!$A:$B,2,FALSE)</f>
        <v>Team Clueless</v>
      </c>
      <c r="H367">
        <v>73.900000000000006</v>
      </c>
      <c r="I367" t="s">
        <v>13</v>
      </c>
    </row>
    <row r="368" spans="1:9" x14ac:dyDescent="0.45">
      <c r="A368">
        <v>2017</v>
      </c>
      <c r="B368">
        <v>8</v>
      </c>
      <c r="C368" t="s">
        <v>14</v>
      </c>
      <c r="D368" t="str">
        <f>VLOOKUP(C368,Teams!$A:$B,2,FALSE)</f>
        <v>Georgia Peanuts</v>
      </c>
      <c r="E368">
        <v>88.72</v>
      </c>
      <c r="F368" t="s">
        <v>8</v>
      </c>
      <c r="G368" t="str">
        <f>VLOOKUP(F368,Teams!$A:$B,2,FALSE)</f>
        <v>Belmont Trees</v>
      </c>
      <c r="H368">
        <v>73.42</v>
      </c>
      <c r="I368" t="s">
        <v>14</v>
      </c>
    </row>
    <row r="369" spans="1:9" x14ac:dyDescent="0.45">
      <c r="A369">
        <v>2018</v>
      </c>
      <c r="B369">
        <v>14</v>
      </c>
      <c r="C369" t="s">
        <v>10</v>
      </c>
      <c r="D369" t="str">
        <f>VLOOKUP(C369,Teams!$A:$B,2,FALSE)</f>
        <v>Team Foresight</v>
      </c>
      <c r="E369">
        <v>75.319999999999993</v>
      </c>
      <c r="F369" t="s">
        <v>8</v>
      </c>
      <c r="G369" t="str">
        <f>VLOOKUP(F369,Teams!$A:$B,2,FALSE)</f>
        <v>Belmont Trees</v>
      </c>
      <c r="H369">
        <v>73.34</v>
      </c>
      <c r="I369" t="s">
        <v>10</v>
      </c>
    </row>
    <row r="370" spans="1:9" x14ac:dyDescent="0.45">
      <c r="A370">
        <v>2014</v>
      </c>
      <c r="B370">
        <v>11</v>
      </c>
      <c r="C370" t="s">
        <v>16</v>
      </c>
      <c r="D370" t="str">
        <f>VLOOKUP(C370,Teams!$A:$B,2,FALSE)</f>
        <v>Denver Donkeys</v>
      </c>
      <c r="E370">
        <v>113.7</v>
      </c>
      <c r="F370" t="s">
        <v>7</v>
      </c>
      <c r="G370" t="str">
        <f>VLOOKUP(F370,Teams!$A:$B,2,FALSE)</f>
        <v>Southern Sharks</v>
      </c>
      <c r="H370">
        <v>73</v>
      </c>
      <c r="I370" t="s">
        <v>16</v>
      </c>
    </row>
    <row r="371" spans="1:9" x14ac:dyDescent="0.45">
      <c r="A371">
        <v>2017</v>
      </c>
      <c r="B371">
        <v>5</v>
      </c>
      <c r="C371" t="s">
        <v>8</v>
      </c>
      <c r="D371" t="str">
        <f>VLOOKUP(C371,Teams!$A:$B,2,FALSE)</f>
        <v>Belmont Trees</v>
      </c>
      <c r="E371">
        <v>84.82</v>
      </c>
      <c r="F371" t="s">
        <v>17</v>
      </c>
      <c r="G371" t="str">
        <f>VLOOKUP(F371,Teams!$A:$B,2,FALSE)</f>
        <v>Turkey Monkeys</v>
      </c>
      <c r="H371">
        <v>72.8</v>
      </c>
      <c r="I371" t="s">
        <v>8</v>
      </c>
    </row>
    <row r="372" spans="1:9" x14ac:dyDescent="0.45">
      <c r="A372">
        <v>2015</v>
      </c>
      <c r="B372">
        <v>10</v>
      </c>
      <c r="C372" t="s">
        <v>13</v>
      </c>
      <c r="D372" t="str">
        <f>VLOOKUP(C372,Teams!$A:$B,2,FALSE)</f>
        <v>Team Clueless</v>
      </c>
      <c r="E372">
        <v>61.56</v>
      </c>
      <c r="F372" t="s">
        <v>18</v>
      </c>
      <c r="G372" t="str">
        <f>VLOOKUP(F372,Teams!$A:$B,2,FALSE)</f>
        <v>KC Gophers</v>
      </c>
      <c r="H372">
        <v>72.760000000000005</v>
      </c>
      <c r="I372" t="s">
        <v>18</v>
      </c>
    </row>
    <row r="373" spans="1:9" x14ac:dyDescent="0.45">
      <c r="A373">
        <v>2017</v>
      </c>
      <c r="B373">
        <v>16</v>
      </c>
      <c r="C373" t="s">
        <v>17</v>
      </c>
      <c r="D373" t="str">
        <f>VLOOKUP(C373,Teams!$A:$B,2,FALSE)</f>
        <v>Turkey Monkeys</v>
      </c>
      <c r="E373">
        <v>112.16</v>
      </c>
      <c r="F373" t="s">
        <v>18</v>
      </c>
      <c r="G373" t="str">
        <f>VLOOKUP(F373,Teams!$A:$B,2,FALSE)</f>
        <v>KC Gophers</v>
      </c>
      <c r="H373">
        <v>72.72</v>
      </c>
      <c r="I373" t="s">
        <v>17</v>
      </c>
    </row>
    <row r="374" spans="1:9" x14ac:dyDescent="0.45">
      <c r="A374">
        <v>2015</v>
      </c>
      <c r="B374">
        <v>2</v>
      </c>
      <c r="C374" t="s">
        <v>16</v>
      </c>
      <c r="D374" t="str">
        <f>VLOOKUP(C374,Teams!$A:$B,2,FALSE)</f>
        <v>Denver Donkeys</v>
      </c>
      <c r="E374">
        <v>96.1</v>
      </c>
      <c r="F374" t="s">
        <v>17</v>
      </c>
      <c r="G374" t="str">
        <f>VLOOKUP(F374,Teams!$A:$B,2,FALSE)</f>
        <v>Turkey Monkeys</v>
      </c>
      <c r="H374">
        <v>72.16</v>
      </c>
      <c r="I374" t="s">
        <v>16</v>
      </c>
    </row>
    <row r="375" spans="1:9" x14ac:dyDescent="0.45">
      <c r="A375">
        <v>2014</v>
      </c>
      <c r="B375">
        <v>12</v>
      </c>
      <c r="C375" t="s">
        <v>18</v>
      </c>
      <c r="D375" t="str">
        <f>VLOOKUP(C375,Teams!$A:$B,2,FALSE)</f>
        <v>KC Gophers</v>
      </c>
      <c r="E375">
        <v>89.4</v>
      </c>
      <c r="F375" t="s">
        <v>12</v>
      </c>
      <c r="G375" t="str">
        <f>VLOOKUP(F375,Teams!$A:$B,2,FALSE)</f>
        <v>Athens Ospreys</v>
      </c>
      <c r="H375">
        <v>71.7</v>
      </c>
      <c r="I375" t="s">
        <v>18</v>
      </c>
    </row>
    <row r="376" spans="1:9" x14ac:dyDescent="0.45">
      <c r="A376">
        <v>2014</v>
      </c>
      <c r="B376">
        <v>14</v>
      </c>
      <c r="C376" t="s">
        <v>13</v>
      </c>
      <c r="D376" t="str">
        <f>VLOOKUP(C376,Teams!$A:$B,2,FALSE)</f>
        <v>Team Clueless</v>
      </c>
      <c r="E376">
        <v>78.099999999999994</v>
      </c>
      <c r="F376" t="s">
        <v>12</v>
      </c>
      <c r="G376" t="str">
        <f>VLOOKUP(F376,Teams!$A:$B,2,FALSE)</f>
        <v>Athens Ospreys</v>
      </c>
      <c r="H376">
        <v>71</v>
      </c>
      <c r="I376" t="s">
        <v>13</v>
      </c>
    </row>
    <row r="377" spans="1:9" x14ac:dyDescent="0.45">
      <c r="A377">
        <v>2014</v>
      </c>
      <c r="B377">
        <v>4</v>
      </c>
      <c r="C377" t="s">
        <v>9</v>
      </c>
      <c r="D377" t="str">
        <f>VLOOKUP(C377,Teams!$A:$B,2,FALSE)</f>
        <v>Team Going</v>
      </c>
      <c r="E377">
        <v>78.599999999999994</v>
      </c>
      <c r="F377" t="s">
        <v>12</v>
      </c>
      <c r="G377" t="str">
        <f>VLOOKUP(F377,Teams!$A:$B,2,FALSE)</f>
        <v>Athens Ospreys</v>
      </c>
      <c r="H377">
        <v>70.5</v>
      </c>
      <c r="I377" t="s">
        <v>9</v>
      </c>
    </row>
    <row r="378" spans="1:9" x14ac:dyDescent="0.45">
      <c r="A378">
        <v>2017</v>
      </c>
      <c r="B378">
        <v>4</v>
      </c>
      <c r="C378" t="s">
        <v>17</v>
      </c>
      <c r="D378" t="str">
        <f>VLOOKUP(C378,Teams!$A:$B,2,FALSE)</f>
        <v>Turkey Monkeys</v>
      </c>
      <c r="E378">
        <v>111.12</v>
      </c>
      <c r="F378" t="s">
        <v>13</v>
      </c>
      <c r="G378" t="str">
        <f>VLOOKUP(F378,Teams!$A:$B,2,FALSE)</f>
        <v>Team Clueless</v>
      </c>
      <c r="H378">
        <v>70.260000000000005</v>
      </c>
      <c r="I378" t="s">
        <v>17</v>
      </c>
    </row>
    <row r="379" spans="1:9" x14ac:dyDescent="0.45">
      <c r="A379">
        <v>2015</v>
      </c>
      <c r="B379">
        <v>5</v>
      </c>
      <c r="C379" t="s">
        <v>7</v>
      </c>
      <c r="D379" t="str">
        <f>VLOOKUP(C379,Teams!$A:$B,2,FALSE)</f>
        <v>Southern Sharks</v>
      </c>
      <c r="E379">
        <v>125.54</v>
      </c>
      <c r="F379" t="s">
        <v>15</v>
      </c>
      <c r="G379" t="str">
        <f>VLOOKUP(F379,Teams!$A:$B,2,FALSE)</f>
        <v>Braintree Red Scare</v>
      </c>
      <c r="H379">
        <v>69.34</v>
      </c>
      <c r="I379" t="s">
        <v>7</v>
      </c>
    </row>
    <row r="380" spans="1:9" x14ac:dyDescent="0.45">
      <c r="A380">
        <v>2014</v>
      </c>
      <c r="B380">
        <v>9</v>
      </c>
      <c r="C380" t="s">
        <v>16</v>
      </c>
      <c r="D380" t="str">
        <f>VLOOKUP(C380,Teams!$A:$B,2,FALSE)</f>
        <v>Denver Donkeys</v>
      </c>
      <c r="E380">
        <v>140.4</v>
      </c>
      <c r="F380" t="s">
        <v>9</v>
      </c>
      <c r="G380" t="str">
        <f>VLOOKUP(F380,Teams!$A:$B,2,FALSE)</f>
        <v>Team Going</v>
      </c>
      <c r="H380">
        <v>68.5</v>
      </c>
      <c r="I380" t="s">
        <v>16</v>
      </c>
    </row>
    <row r="381" spans="1:9" x14ac:dyDescent="0.45">
      <c r="A381">
        <v>2014</v>
      </c>
      <c r="B381">
        <v>4</v>
      </c>
      <c r="C381" t="s">
        <v>14</v>
      </c>
      <c r="D381" t="str">
        <f>VLOOKUP(C381,Teams!$A:$B,2,FALSE)</f>
        <v>Georgia Peanuts</v>
      </c>
      <c r="E381">
        <v>77.7</v>
      </c>
      <c r="F381" t="s">
        <v>17</v>
      </c>
      <c r="G381" t="str">
        <f>VLOOKUP(F381,Teams!$A:$B,2,FALSE)</f>
        <v>Turkey Monkeys</v>
      </c>
      <c r="H381">
        <v>68</v>
      </c>
      <c r="I381" t="s">
        <v>14</v>
      </c>
    </row>
    <row r="382" spans="1:9" x14ac:dyDescent="0.45">
      <c r="A382">
        <v>2018</v>
      </c>
      <c r="B382">
        <v>13</v>
      </c>
      <c r="C382" t="s">
        <v>16</v>
      </c>
      <c r="D382" t="str">
        <f>VLOOKUP(C382,Teams!$A:$B,2,FALSE)</f>
        <v>Denver Donkeys</v>
      </c>
      <c r="E382">
        <v>86.1</v>
      </c>
      <c r="F382" t="s">
        <v>18</v>
      </c>
      <c r="G382" t="str">
        <f>VLOOKUP(F382,Teams!$A:$B,2,FALSE)</f>
        <v>KC Gophers</v>
      </c>
      <c r="H382">
        <v>67.72</v>
      </c>
      <c r="I382" t="s">
        <v>16</v>
      </c>
    </row>
    <row r="383" spans="1:9" x14ac:dyDescent="0.45">
      <c r="A383">
        <v>2016</v>
      </c>
      <c r="B383">
        <v>8</v>
      </c>
      <c r="C383" t="s">
        <v>14</v>
      </c>
      <c r="D383" t="str">
        <f>VLOOKUP(C383,Teams!$A:$B,2,FALSE)</f>
        <v>Georgia Peanuts</v>
      </c>
      <c r="E383">
        <v>103</v>
      </c>
      <c r="F383" t="s">
        <v>8</v>
      </c>
      <c r="G383" t="str">
        <f>VLOOKUP(F383,Teams!$A:$B,2,FALSE)</f>
        <v>Belmont Trees</v>
      </c>
      <c r="H383">
        <v>67.64</v>
      </c>
      <c r="I383" t="s">
        <v>14</v>
      </c>
    </row>
    <row r="384" spans="1:9" x14ac:dyDescent="0.45">
      <c r="A384">
        <v>2014</v>
      </c>
      <c r="B384">
        <v>16</v>
      </c>
      <c r="C384" t="s">
        <v>10</v>
      </c>
      <c r="D384" t="str">
        <f>VLOOKUP(C384,Teams!$A:$B,2,FALSE)</f>
        <v>Team Foresight</v>
      </c>
      <c r="E384">
        <v>91.3</v>
      </c>
      <c r="F384" t="s">
        <v>8</v>
      </c>
      <c r="G384" t="str">
        <f>VLOOKUP(F384,Teams!$A:$B,2,FALSE)</f>
        <v>Belmont Trees</v>
      </c>
      <c r="H384">
        <v>67.599999999999994</v>
      </c>
      <c r="I384" t="s">
        <v>10</v>
      </c>
    </row>
    <row r="385" spans="1:9" x14ac:dyDescent="0.45">
      <c r="A385">
        <v>2014</v>
      </c>
      <c r="B385">
        <v>5</v>
      </c>
      <c r="C385" t="s">
        <v>17</v>
      </c>
      <c r="D385" t="str">
        <f>VLOOKUP(C385,Teams!$A:$B,2,FALSE)</f>
        <v>Turkey Monkeys</v>
      </c>
      <c r="E385">
        <v>103.2</v>
      </c>
      <c r="F385" t="s">
        <v>13</v>
      </c>
      <c r="G385" t="str">
        <f>VLOOKUP(F385,Teams!$A:$B,2,FALSE)</f>
        <v>Team Clueless</v>
      </c>
      <c r="H385">
        <v>67.400000000000006</v>
      </c>
      <c r="I385" t="s">
        <v>17</v>
      </c>
    </row>
    <row r="386" spans="1:9" x14ac:dyDescent="0.45">
      <c r="A386">
        <v>2014</v>
      </c>
      <c r="B386">
        <v>2</v>
      </c>
      <c r="C386" t="s">
        <v>17</v>
      </c>
      <c r="D386" t="str">
        <f>VLOOKUP(C386,Teams!$A:$B,2,FALSE)</f>
        <v>Turkey Monkeys</v>
      </c>
      <c r="E386">
        <v>76.8</v>
      </c>
      <c r="F386" t="s">
        <v>15</v>
      </c>
      <c r="G386" t="str">
        <f>VLOOKUP(F386,Teams!$A:$B,2,FALSE)</f>
        <v>Braintree Red Scare</v>
      </c>
      <c r="H386">
        <v>67.3</v>
      </c>
      <c r="I386" t="s">
        <v>17</v>
      </c>
    </row>
    <row r="387" spans="1:9" x14ac:dyDescent="0.45">
      <c r="A387">
        <v>2016</v>
      </c>
      <c r="B387">
        <v>3</v>
      </c>
      <c r="C387" t="s">
        <v>13</v>
      </c>
      <c r="D387" t="str">
        <f>VLOOKUP(C387,Teams!$A:$B,2,FALSE)</f>
        <v>Team Clueless</v>
      </c>
      <c r="E387">
        <v>81.98</v>
      </c>
      <c r="F387" t="s">
        <v>8</v>
      </c>
      <c r="G387" t="str">
        <f>VLOOKUP(F387,Teams!$A:$B,2,FALSE)</f>
        <v>Belmont Trees</v>
      </c>
      <c r="H387">
        <v>66.319999999999993</v>
      </c>
      <c r="I387" t="s">
        <v>13</v>
      </c>
    </row>
    <row r="388" spans="1:9" x14ac:dyDescent="0.45">
      <c r="A388">
        <v>2018</v>
      </c>
      <c r="B388">
        <v>6</v>
      </c>
      <c r="C388" t="s">
        <v>10</v>
      </c>
      <c r="D388" t="str">
        <f>VLOOKUP(C388,Teams!$A:$B,2,FALSE)</f>
        <v>Team Foresight</v>
      </c>
      <c r="E388">
        <v>131.19999999999999</v>
      </c>
      <c r="F388" t="s">
        <v>18</v>
      </c>
      <c r="G388" t="str">
        <f>VLOOKUP(F388,Teams!$A:$B,2,FALSE)</f>
        <v>KC Gophers</v>
      </c>
      <c r="H388">
        <v>65.739999999999995</v>
      </c>
      <c r="I388" t="s">
        <v>10</v>
      </c>
    </row>
    <row r="389" spans="1:9" x14ac:dyDescent="0.45">
      <c r="A389">
        <v>2015</v>
      </c>
      <c r="B389">
        <v>5</v>
      </c>
      <c r="C389" t="s">
        <v>8</v>
      </c>
      <c r="D389" t="str">
        <f>VLOOKUP(C389,Teams!$A:$B,2,FALSE)</f>
        <v>Belmont Trees</v>
      </c>
      <c r="E389">
        <v>113.12</v>
      </c>
      <c r="F389" t="s">
        <v>17</v>
      </c>
      <c r="G389" t="str">
        <f>VLOOKUP(F389,Teams!$A:$B,2,FALSE)</f>
        <v>Turkey Monkeys</v>
      </c>
      <c r="H389">
        <v>65.64</v>
      </c>
      <c r="I389" t="s">
        <v>8</v>
      </c>
    </row>
    <row r="390" spans="1:9" x14ac:dyDescent="0.45">
      <c r="A390">
        <v>2018</v>
      </c>
      <c r="B390">
        <v>11</v>
      </c>
      <c r="C390" t="s">
        <v>17</v>
      </c>
      <c r="D390" t="str">
        <f>VLOOKUP(C390,Teams!$A:$B,2,FALSE)</f>
        <v>Turkey Monkeys</v>
      </c>
      <c r="E390">
        <v>107.76</v>
      </c>
      <c r="F390" t="s">
        <v>16</v>
      </c>
      <c r="G390" t="str">
        <f>VLOOKUP(F390,Teams!$A:$B,2,FALSE)</f>
        <v>Denver Donkeys</v>
      </c>
      <c r="H390">
        <v>64.900000000000006</v>
      </c>
      <c r="I390" t="s">
        <v>17</v>
      </c>
    </row>
    <row r="391" spans="1:9" x14ac:dyDescent="0.45">
      <c r="A391">
        <v>2014</v>
      </c>
      <c r="B391">
        <v>9</v>
      </c>
      <c r="C391" t="s">
        <v>14</v>
      </c>
      <c r="D391" t="str">
        <f>VLOOKUP(C391,Teams!$A:$B,2,FALSE)</f>
        <v>Georgia Peanuts</v>
      </c>
      <c r="E391">
        <v>89.2</v>
      </c>
      <c r="F391" t="s">
        <v>12</v>
      </c>
      <c r="G391" t="str">
        <f>VLOOKUP(F391,Teams!$A:$B,2,FALSE)</f>
        <v>Athens Ospreys</v>
      </c>
      <c r="H391">
        <v>64.900000000000006</v>
      </c>
      <c r="I391" t="s">
        <v>14</v>
      </c>
    </row>
    <row r="392" spans="1:9" x14ac:dyDescent="0.45">
      <c r="A392">
        <v>2014</v>
      </c>
      <c r="B392">
        <v>11</v>
      </c>
      <c r="C392" t="s">
        <v>17</v>
      </c>
      <c r="D392" t="str">
        <f>VLOOKUP(C392,Teams!$A:$B,2,FALSE)</f>
        <v>Turkey Monkeys</v>
      </c>
      <c r="E392">
        <v>76.599999999999994</v>
      </c>
      <c r="F392" t="s">
        <v>12</v>
      </c>
      <c r="G392" t="str">
        <f>VLOOKUP(F392,Teams!$A:$B,2,FALSE)</f>
        <v>Athens Ospreys</v>
      </c>
      <c r="H392">
        <v>64.7</v>
      </c>
      <c r="I392" t="s">
        <v>17</v>
      </c>
    </row>
    <row r="393" spans="1:9" x14ac:dyDescent="0.45">
      <c r="A393">
        <v>2017</v>
      </c>
      <c r="B393">
        <v>11</v>
      </c>
      <c r="C393" t="s">
        <v>17</v>
      </c>
      <c r="D393" t="str">
        <f>VLOOKUP(C393,Teams!$A:$B,2,FALSE)</f>
        <v>Turkey Monkeys</v>
      </c>
      <c r="E393">
        <v>104.3</v>
      </c>
      <c r="F393" t="s">
        <v>16</v>
      </c>
      <c r="G393" t="str">
        <f>VLOOKUP(F393,Teams!$A:$B,2,FALSE)</f>
        <v>Denver Donkeys</v>
      </c>
      <c r="H393">
        <v>64.48</v>
      </c>
      <c r="I393" t="s">
        <v>17</v>
      </c>
    </row>
    <row r="394" spans="1:9" x14ac:dyDescent="0.45">
      <c r="A394">
        <v>2014</v>
      </c>
      <c r="B394">
        <v>4</v>
      </c>
      <c r="C394" t="s">
        <v>13</v>
      </c>
      <c r="D394" t="str">
        <f>VLOOKUP(C394,Teams!$A:$B,2,FALSE)</f>
        <v>Team Clueless</v>
      </c>
      <c r="E394">
        <v>105.6</v>
      </c>
      <c r="F394" t="s">
        <v>16</v>
      </c>
      <c r="G394" t="str">
        <f>VLOOKUP(F394,Teams!$A:$B,2,FALSE)</f>
        <v>Denver Donkeys</v>
      </c>
      <c r="H394">
        <v>64.400000000000006</v>
      </c>
      <c r="I394" t="s">
        <v>13</v>
      </c>
    </row>
    <row r="395" spans="1:9" x14ac:dyDescent="0.45">
      <c r="A395">
        <v>2018</v>
      </c>
      <c r="B395">
        <v>15</v>
      </c>
      <c r="C395" t="s">
        <v>10</v>
      </c>
      <c r="D395" t="str">
        <f>VLOOKUP(C395,Teams!$A:$B,2,FALSE)</f>
        <v>Team Foresight</v>
      </c>
      <c r="E395">
        <v>125.58</v>
      </c>
      <c r="F395" t="s">
        <v>8</v>
      </c>
      <c r="G395" t="str">
        <f>VLOOKUP(F395,Teams!$A:$B,2,FALSE)</f>
        <v>Belmont Trees</v>
      </c>
      <c r="H395">
        <v>63.06</v>
      </c>
      <c r="I395" t="s">
        <v>10</v>
      </c>
    </row>
    <row r="396" spans="1:9" x14ac:dyDescent="0.45">
      <c r="A396">
        <v>2014</v>
      </c>
      <c r="B396">
        <v>2</v>
      </c>
      <c r="C396" t="s">
        <v>14</v>
      </c>
      <c r="D396" t="str">
        <f>VLOOKUP(C396,Teams!$A:$B,2,FALSE)</f>
        <v>Georgia Peanuts</v>
      </c>
      <c r="E396">
        <v>96.4</v>
      </c>
      <c r="F396" t="s">
        <v>16</v>
      </c>
      <c r="G396" t="str">
        <f>VLOOKUP(F396,Teams!$A:$B,2,FALSE)</f>
        <v>Denver Donkeys</v>
      </c>
      <c r="H396">
        <v>63</v>
      </c>
      <c r="I396" t="s">
        <v>14</v>
      </c>
    </row>
    <row r="397" spans="1:9" x14ac:dyDescent="0.45">
      <c r="A397">
        <v>2014</v>
      </c>
      <c r="B397">
        <v>10</v>
      </c>
      <c r="C397" t="s">
        <v>12</v>
      </c>
      <c r="D397" t="str">
        <f>VLOOKUP(C397,Teams!$A:$B,2,FALSE)</f>
        <v>Athens Ospreys</v>
      </c>
      <c r="E397">
        <v>83.4</v>
      </c>
      <c r="F397" t="s">
        <v>15</v>
      </c>
      <c r="G397" t="str">
        <f>VLOOKUP(F397,Teams!$A:$B,2,FALSE)</f>
        <v>Braintree Red Scare</v>
      </c>
      <c r="H397">
        <v>63</v>
      </c>
      <c r="I397" t="s">
        <v>12</v>
      </c>
    </row>
    <row r="398" spans="1:9" x14ac:dyDescent="0.45">
      <c r="A398">
        <v>2014</v>
      </c>
      <c r="B398">
        <v>14</v>
      </c>
      <c r="C398" t="s">
        <v>18</v>
      </c>
      <c r="D398" t="str">
        <f>VLOOKUP(C398,Teams!$A:$B,2,FALSE)</f>
        <v>KC Gophers</v>
      </c>
      <c r="E398">
        <v>111</v>
      </c>
      <c r="F398" t="s">
        <v>9</v>
      </c>
      <c r="G398" t="str">
        <f>VLOOKUP(F398,Teams!$A:$B,2,FALSE)</f>
        <v>Team Going</v>
      </c>
      <c r="H398">
        <v>62.6</v>
      </c>
      <c r="I398" t="s">
        <v>18</v>
      </c>
    </row>
    <row r="399" spans="1:9" x14ac:dyDescent="0.45">
      <c r="A399">
        <v>2014</v>
      </c>
      <c r="B399">
        <v>15</v>
      </c>
      <c r="C399" t="s">
        <v>18</v>
      </c>
      <c r="D399" t="str">
        <f>VLOOKUP(C399,Teams!$A:$B,2,FALSE)</f>
        <v>KC Gophers</v>
      </c>
      <c r="E399">
        <v>66.5</v>
      </c>
      <c r="F399" t="s">
        <v>13</v>
      </c>
      <c r="G399" t="str">
        <f>VLOOKUP(F399,Teams!$A:$B,2,FALSE)</f>
        <v>Team Clueless</v>
      </c>
      <c r="H399">
        <v>62.1</v>
      </c>
      <c r="I399" t="s">
        <v>18</v>
      </c>
    </row>
    <row r="400" spans="1:9" x14ac:dyDescent="0.45">
      <c r="A400">
        <v>2014</v>
      </c>
      <c r="B400">
        <v>9</v>
      </c>
      <c r="C400" t="s">
        <v>17</v>
      </c>
      <c r="D400" t="str">
        <f>VLOOKUP(C400,Teams!$A:$B,2,FALSE)</f>
        <v>Turkey Monkeys</v>
      </c>
      <c r="E400">
        <v>100.3</v>
      </c>
      <c r="F400" t="s">
        <v>7</v>
      </c>
      <c r="G400" t="str">
        <f>VLOOKUP(F400,Teams!$A:$B,2,FALSE)</f>
        <v>Southern Sharks</v>
      </c>
      <c r="H400">
        <v>60.1</v>
      </c>
      <c r="I400" t="s">
        <v>17</v>
      </c>
    </row>
    <row r="401" spans="1:9" x14ac:dyDescent="0.45">
      <c r="A401">
        <v>2015</v>
      </c>
      <c r="B401">
        <v>3</v>
      </c>
      <c r="C401" t="s">
        <v>13</v>
      </c>
      <c r="D401" t="str">
        <f>VLOOKUP(C401,Teams!$A:$B,2,FALSE)</f>
        <v>Team Clueless</v>
      </c>
      <c r="E401">
        <v>167.76</v>
      </c>
      <c r="F401" t="s">
        <v>8</v>
      </c>
      <c r="G401" t="str">
        <f>VLOOKUP(F401,Teams!$A:$B,2,FALSE)</f>
        <v>Belmont Trees</v>
      </c>
      <c r="H401">
        <v>60.02</v>
      </c>
      <c r="I401" t="s">
        <v>13</v>
      </c>
    </row>
    <row r="402" spans="1:9" x14ac:dyDescent="0.45">
      <c r="A402">
        <v>2014</v>
      </c>
      <c r="B402">
        <v>8</v>
      </c>
      <c r="C402" t="s">
        <v>9</v>
      </c>
      <c r="D402" t="str">
        <f>VLOOKUP(C402,Teams!$A:$B,2,FALSE)</f>
        <v>Team Going</v>
      </c>
      <c r="E402">
        <v>86.4</v>
      </c>
      <c r="F402" t="s">
        <v>18</v>
      </c>
      <c r="G402" t="str">
        <f>VLOOKUP(F402,Teams!$A:$B,2,FALSE)</f>
        <v>KC Gophers</v>
      </c>
      <c r="H402">
        <v>57.2</v>
      </c>
      <c r="I402" t="s">
        <v>9</v>
      </c>
    </row>
    <row r="403" spans="1:9" x14ac:dyDescent="0.45">
      <c r="A403">
        <v>2017</v>
      </c>
      <c r="B403">
        <v>10</v>
      </c>
      <c r="C403" t="s">
        <v>13</v>
      </c>
      <c r="D403" t="str">
        <f>VLOOKUP(C403,Teams!$A:$B,2,FALSE)</f>
        <v>Team Clueless</v>
      </c>
      <c r="E403">
        <v>99.22</v>
      </c>
      <c r="F403" t="s">
        <v>18</v>
      </c>
      <c r="G403" t="str">
        <f>VLOOKUP(F403,Teams!$A:$B,2,FALSE)</f>
        <v>KC Gophers</v>
      </c>
      <c r="H403">
        <v>55.88</v>
      </c>
      <c r="I403" t="s">
        <v>13</v>
      </c>
    </row>
    <row r="404" spans="1:9" x14ac:dyDescent="0.45">
      <c r="A404">
        <v>2016</v>
      </c>
      <c r="B404">
        <v>14</v>
      </c>
      <c r="C404" t="s">
        <v>15</v>
      </c>
      <c r="D404" t="str">
        <f>VLOOKUP(C404,Teams!$A:$B,2,FALSE)</f>
        <v>Braintree Red Scare</v>
      </c>
      <c r="E404">
        <v>88.9</v>
      </c>
      <c r="F404" t="s">
        <v>13</v>
      </c>
      <c r="G404" t="str">
        <f>VLOOKUP(F404,Teams!$A:$B,2,FALSE)</f>
        <v>Team Clueless</v>
      </c>
      <c r="H404">
        <v>54.36</v>
      </c>
      <c r="I404" t="s">
        <v>15</v>
      </c>
    </row>
    <row r="405" spans="1:9" x14ac:dyDescent="0.45">
      <c r="A405">
        <v>2014</v>
      </c>
      <c r="B405">
        <v>3</v>
      </c>
      <c r="C405" t="s">
        <v>13</v>
      </c>
      <c r="D405" t="str">
        <f>VLOOKUP(C405,Teams!$A:$B,2,FALSE)</f>
        <v>Team Clueless</v>
      </c>
      <c r="E405">
        <v>65.7</v>
      </c>
      <c r="F405" t="s">
        <v>15</v>
      </c>
      <c r="G405" t="str">
        <f>VLOOKUP(F405,Teams!$A:$B,2,FALSE)</f>
        <v>Braintree Red Scare</v>
      </c>
      <c r="H405">
        <v>53.8</v>
      </c>
      <c r="I405" t="s">
        <v>13</v>
      </c>
    </row>
    <row r="406" spans="1:9" x14ac:dyDescent="0.45">
      <c r="A406">
        <v>2014</v>
      </c>
      <c r="B406">
        <v>7</v>
      </c>
      <c r="C406" t="s">
        <v>17</v>
      </c>
      <c r="D406" t="str">
        <f>VLOOKUP(C406,Teams!$A:$B,2,FALSE)</f>
        <v>Turkey Monkeys</v>
      </c>
      <c r="E406">
        <v>89.2</v>
      </c>
      <c r="F406" t="s">
        <v>9</v>
      </c>
      <c r="G406" t="str">
        <f>VLOOKUP(F406,Teams!$A:$B,2,FALSE)</f>
        <v>Team Going</v>
      </c>
      <c r="H406">
        <v>53</v>
      </c>
      <c r="I406" t="s">
        <v>17</v>
      </c>
    </row>
    <row r="407" spans="1:9" x14ac:dyDescent="0.45">
      <c r="A407">
        <v>2017</v>
      </c>
      <c r="B407">
        <v>13</v>
      </c>
      <c r="C407" t="s">
        <v>16</v>
      </c>
      <c r="D407" t="str">
        <f>VLOOKUP(C407,Teams!$A:$B,2,FALSE)</f>
        <v>Denver Donkeys</v>
      </c>
      <c r="E407">
        <v>61.74</v>
      </c>
      <c r="F407" t="s">
        <v>18</v>
      </c>
      <c r="G407" t="str">
        <f>VLOOKUP(F407,Teams!$A:$B,2,FALSE)</f>
        <v>KC Gophers</v>
      </c>
      <c r="H407">
        <v>51.98</v>
      </c>
      <c r="I407" t="s">
        <v>16</v>
      </c>
    </row>
    <row r="408" spans="1:9" x14ac:dyDescent="0.45">
      <c r="A408">
        <v>2018</v>
      </c>
      <c r="B408">
        <v>15</v>
      </c>
      <c r="C408" t="s">
        <v>11</v>
      </c>
      <c r="D408" t="str">
        <f>VLOOKUP(C408,Teams!$A:$B,2,FALSE)</f>
        <v>Pigskin on the Gridiron</v>
      </c>
      <c r="E408">
        <v>134.91999999999999</v>
      </c>
      <c r="F408" t="s">
        <v>7</v>
      </c>
      <c r="G408" t="str">
        <f>VLOOKUP(F408,Teams!$A:$B,2,FALSE)</f>
        <v>Southern Sharks</v>
      </c>
      <c r="H408">
        <v>49.56</v>
      </c>
      <c r="I408" t="s">
        <v>11</v>
      </c>
    </row>
    <row r="409" spans="1:9" x14ac:dyDescent="0.45">
      <c r="A409">
        <v>2014</v>
      </c>
      <c r="B409">
        <v>8</v>
      </c>
      <c r="C409" t="s">
        <v>7</v>
      </c>
      <c r="D409" t="str">
        <f>VLOOKUP(C409,Teams!$A:$B,2,FALSE)</f>
        <v>Southern Sharks</v>
      </c>
      <c r="E409">
        <v>82.4</v>
      </c>
      <c r="F409" t="s">
        <v>15</v>
      </c>
      <c r="G409" t="str">
        <f>VLOOKUP(F409,Teams!$A:$B,2,FALSE)</f>
        <v>Braintree Red Scare</v>
      </c>
      <c r="H409">
        <v>49.1</v>
      </c>
      <c r="I409" t="s">
        <v>7</v>
      </c>
    </row>
    <row r="410" spans="1:9" x14ac:dyDescent="0.45">
      <c r="A410">
        <v>2014</v>
      </c>
      <c r="B410">
        <v>1</v>
      </c>
      <c r="C410" t="s">
        <v>17</v>
      </c>
      <c r="D410" t="str">
        <f>VLOOKUP(C410,Teams!$A:$B,2,FALSE)</f>
        <v>Turkey Monkeys</v>
      </c>
      <c r="E410">
        <v>76.599999999999994</v>
      </c>
      <c r="F410" t="s">
        <v>18</v>
      </c>
      <c r="G410" t="str">
        <f>VLOOKUP(F410,Teams!$A:$B,2,FALSE)</f>
        <v>KC Gophers</v>
      </c>
      <c r="H410">
        <v>48</v>
      </c>
      <c r="I410" t="s">
        <v>17</v>
      </c>
    </row>
    <row r="411" spans="1:9" x14ac:dyDescent="0.45">
      <c r="A411">
        <v>2014</v>
      </c>
      <c r="B411">
        <v>15</v>
      </c>
      <c r="C411" t="s">
        <v>12</v>
      </c>
      <c r="D411" t="str">
        <f>VLOOKUP(C411,Teams!$A:$B,2,FALSE)</f>
        <v>Athens Ospreys</v>
      </c>
      <c r="E411">
        <v>55</v>
      </c>
      <c r="F411" t="s">
        <v>9</v>
      </c>
      <c r="G411" t="str">
        <f>VLOOKUP(F411,Teams!$A:$B,2,FALSE)</f>
        <v>Team Going</v>
      </c>
      <c r="H411">
        <v>44.1</v>
      </c>
      <c r="I411" t="s">
        <v>12</v>
      </c>
    </row>
    <row r="412" spans="1:9" x14ac:dyDescent="0.45">
      <c r="A412">
        <v>2014</v>
      </c>
      <c r="B412">
        <v>16</v>
      </c>
      <c r="C412" t="s">
        <v>15</v>
      </c>
      <c r="D412" t="str">
        <f>VLOOKUP(C412,Teams!$A:$B,2,FALSE)</f>
        <v>Braintree Red Scare</v>
      </c>
      <c r="E412">
        <v>54.5</v>
      </c>
      <c r="F412" t="s">
        <v>12</v>
      </c>
      <c r="G412" t="str">
        <f>VLOOKUP(F412,Teams!$A:$B,2,FALSE)</f>
        <v>Athens Ospreys</v>
      </c>
      <c r="H412">
        <v>43.6</v>
      </c>
      <c r="I412" t="s">
        <v>15</v>
      </c>
    </row>
    <row r="413" spans="1:9" x14ac:dyDescent="0.45">
      <c r="A413">
        <v>2016</v>
      </c>
      <c r="B413">
        <v>14</v>
      </c>
      <c r="C413" t="s">
        <v>10</v>
      </c>
      <c r="D413" t="str">
        <f>VLOOKUP(C413,Teams!$A:$B,2,FALSE)</f>
        <v>Team Foresight</v>
      </c>
      <c r="E413">
        <v>81.819999999999993</v>
      </c>
      <c r="F413" t="s">
        <v>8</v>
      </c>
      <c r="G413" t="str">
        <f>VLOOKUP(F413,Teams!$A:$B,2,FALSE)</f>
        <v>Belmont Trees</v>
      </c>
      <c r="H413">
        <v>43.24</v>
      </c>
      <c r="I413" t="s">
        <v>10</v>
      </c>
    </row>
    <row r="414" spans="1:9" x14ac:dyDescent="0.45">
      <c r="A414">
        <v>2014</v>
      </c>
      <c r="B414">
        <v>12</v>
      </c>
      <c r="C414" t="s">
        <v>15</v>
      </c>
      <c r="D414" t="str">
        <f>VLOOKUP(C414,Teams!$A:$B,2,FALSE)</f>
        <v>Braintree Red Scare</v>
      </c>
      <c r="E414">
        <v>73.599999999999994</v>
      </c>
      <c r="F414" t="s">
        <v>9</v>
      </c>
      <c r="G414" t="str">
        <f>VLOOKUP(F414,Teams!$A:$B,2,FALSE)</f>
        <v>Team Going</v>
      </c>
      <c r="H414">
        <v>39.200000000000003</v>
      </c>
      <c r="I414" t="s">
        <v>15</v>
      </c>
    </row>
    <row r="415" spans="1:9" x14ac:dyDescent="0.45">
      <c r="A415">
        <v>2014</v>
      </c>
      <c r="B415">
        <v>15</v>
      </c>
      <c r="C415" t="s">
        <v>11</v>
      </c>
      <c r="D415" t="str">
        <f>VLOOKUP(C415,Teams!$A:$B,2,FALSE)</f>
        <v>Pigskin on the Gridiron</v>
      </c>
      <c r="E415">
        <v>108.4</v>
      </c>
      <c r="F415" t="s">
        <v>15</v>
      </c>
      <c r="G415" t="str">
        <f>VLOOKUP(F415,Teams!$A:$B,2,FALSE)</f>
        <v>Braintree Red Scare</v>
      </c>
      <c r="H415">
        <v>33.799999999999997</v>
      </c>
      <c r="I415" t="s">
        <v>11</v>
      </c>
    </row>
    <row r="416" spans="1:9" x14ac:dyDescent="0.45">
      <c r="A416">
        <v>2014</v>
      </c>
      <c r="B416">
        <v>16</v>
      </c>
      <c r="C416" t="s">
        <v>13</v>
      </c>
      <c r="D416" t="str">
        <f>VLOOKUP(C416,Teams!$A:$B,2,FALSE)</f>
        <v>Team Clueless</v>
      </c>
      <c r="E416">
        <v>93.7</v>
      </c>
      <c r="F416" t="s">
        <v>9</v>
      </c>
      <c r="G416" t="str">
        <f>VLOOKUP(F416,Teams!$A:$B,2,FALSE)</f>
        <v>Team Going</v>
      </c>
      <c r="H416">
        <v>24.7</v>
      </c>
      <c r="I416" t="s">
        <v>13</v>
      </c>
    </row>
    <row r="417" spans="1:9" x14ac:dyDescent="0.45">
      <c r="A417">
        <v>2014</v>
      </c>
      <c r="B417">
        <v>11</v>
      </c>
      <c r="C417" t="s">
        <v>14</v>
      </c>
      <c r="D417" t="str">
        <f>VLOOKUP(C417,Teams!$A:$B,2,FALSE)</f>
        <v>Georgia Peanuts</v>
      </c>
      <c r="E417">
        <v>94.1</v>
      </c>
      <c r="F417" t="s">
        <v>9</v>
      </c>
      <c r="G417" t="str">
        <f>VLOOKUP(F417,Teams!$A:$B,2,FALSE)</f>
        <v>Team Going</v>
      </c>
      <c r="H417">
        <v>20.2</v>
      </c>
      <c r="I417" t="s">
        <v>14</v>
      </c>
    </row>
  </sheetData>
  <autoFilter ref="A1:I417">
    <sortState xmlns:xlrd2="http://schemas.microsoft.com/office/spreadsheetml/2017/richdata2" ref="A2:I417">
      <sortCondition descending="1" ref="H1:H41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14" sqref="A14"/>
    </sheetView>
  </sheetViews>
  <sheetFormatPr defaultRowHeight="14.25" x14ac:dyDescent="0.45"/>
  <sheetData>
    <row r="1" spans="1:2" x14ac:dyDescent="0.45">
      <c r="A1" t="s">
        <v>19</v>
      </c>
    </row>
    <row r="2" spans="1:2" x14ac:dyDescent="0.45">
      <c r="A2" t="s">
        <v>14</v>
      </c>
      <c r="B2" t="s">
        <v>20</v>
      </c>
    </row>
    <row r="3" spans="1:2" x14ac:dyDescent="0.45">
      <c r="A3" t="s">
        <v>13</v>
      </c>
      <c r="B3" t="s">
        <v>21</v>
      </c>
    </row>
    <row r="4" spans="1:2" x14ac:dyDescent="0.45">
      <c r="A4" t="s">
        <v>8</v>
      </c>
      <c r="B4" t="s">
        <v>22</v>
      </c>
    </row>
    <row r="5" spans="1:2" x14ac:dyDescent="0.45">
      <c r="A5" t="s">
        <v>7</v>
      </c>
      <c r="B5" t="s">
        <v>23</v>
      </c>
    </row>
    <row r="6" spans="1:2" x14ac:dyDescent="0.45">
      <c r="A6" t="s">
        <v>16</v>
      </c>
      <c r="B6" t="s">
        <v>31</v>
      </c>
    </row>
    <row r="7" spans="1:2" x14ac:dyDescent="0.45">
      <c r="A7" t="s">
        <v>18</v>
      </c>
      <c r="B7" t="s">
        <v>25</v>
      </c>
    </row>
    <row r="8" spans="1:2" x14ac:dyDescent="0.45">
      <c r="A8" t="s">
        <v>10</v>
      </c>
      <c r="B8" t="s">
        <v>26</v>
      </c>
    </row>
    <row r="9" spans="1:2" x14ac:dyDescent="0.45">
      <c r="A9" t="s">
        <v>17</v>
      </c>
      <c r="B9" t="s">
        <v>28</v>
      </c>
    </row>
    <row r="10" spans="1:2" x14ac:dyDescent="0.45">
      <c r="A10" t="s">
        <v>12</v>
      </c>
      <c r="B10" t="s">
        <v>29</v>
      </c>
    </row>
    <row r="11" spans="1:2" x14ac:dyDescent="0.45">
      <c r="A11" t="s">
        <v>11</v>
      </c>
      <c r="B11" t="s">
        <v>30</v>
      </c>
    </row>
    <row r="12" spans="1:2" x14ac:dyDescent="0.45">
      <c r="A12" t="s">
        <v>9</v>
      </c>
      <c r="B12" t="s">
        <v>27</v>
      </c>
    </row>
    <row r="13" spans="1:2" x14ac:dyDescent="0.45">
      <c r="A13" t="s">
        <v>15</v>
      </c>
      <c r="B13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espn_legacy_games_2014_2017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Shannon</dc:creator>
  <cp:lastModifiedBy>Jerry Shannon</cp:lastModifiedBy>
  <dcterms:created xsi:type="dcterms:W3CDTF">2026-10-13T00:03:14Z</dcterms:created>
  <dcterms:modified xsi:type="dcterms:W3CDTF">2026-10-13T00:04:37Z</dcterms:modified>
</cp:coreProperties>
</file>